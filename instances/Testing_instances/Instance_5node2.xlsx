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Chen Kaiyuan\Desktop\INSTANCES\"/>
    </mc:Choice>
  </mc:AlternateContent>
  <xr:revisionPtr revIDLastSave="0" documentId="13_ncr:1_{36A6774C-8E52-4CF0-8A11-88803B36045F}" xr6:coauthVersionLast="47" xr6:coauthVersionMax="47" xr10:uidLastSave="{00000000-0000-0000-0000-000000000000}"/>
  <bookViews>
    <workbookView xWindow="-103" yWindow="-103" windowWidth="21806" windowHeight="13886" activeTab="4" xr2:uid="{00000000-000D-0000-FFFF-FFFF00000000}"/>
  </bookViews>
  <sheets>
    <sheet name="Node" sheetId="1" r:id="rId1"/>
    <sheet name="Branch" sheetId="2" r:id="rId2"/>
    <sheet name="Device" sheetId="3" r:id="rId3"/>
    <sheet name="Building" sheetId="4" r:id="rId4"/>
    <sheet name="管径设计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5" l="1"/>
  <c r="G13" i="5" s="1"/>
  <c r="D17" i="2"/>
  <c r="D15" i="2"/>
  <c r="D14" i="2"/>
  <c r="D13" i="2"/>
  <c r="C4" i="5"/>
  <c r="G4" i="5" s="1"/>
  <c r="D11" i="2"/>
  <c r="F19" i="5"/>
  <c r="C19" i="5" s="1"/>
  <c r="F16" i="5"/>
  <c r="C16" i="5" s="1"/>
  <c r="D20" i="2" s="1"/>
  <c r="F17" i="5"/>
  <c r="F18" i="5"/>
  <c r="J13" i="5"/>
  <c r="J14" i="5"/>
  <c r="C17" i="5"/>
  <c r="C18" i="5"/>
  <c r="E16" i="5"/>
  <c r="E17" i="5"/>
  <c r="E18" i="5"/>
  <c r="E19" i="5"/>
  <c r="E20" i="5"/>
  <c r="F20" i="5"/>
  <c r="C20" i="5" s="1"/>
  <c r="D20" i="5"/>
  <c r="E24" i="2" s="1"/>
  <c r="F24" i="2" s="1"/>
  <c r="D19" i="5"/>
  <c r="D18" i="5"/>
  <c r="K18" i="5" s="1"/>
  <c r="D17" i="5"/>
  <c r="K17" i="5" s="1"/>
  <c r="D16" i="5"/>
  <c r="E20" i="2" s="1"/>
  <c r="G20" i="2" s="1"/>
  <c r="E7" i="2"/>
  <c r="E8" i="2"/>
  <c r="G8" i="2" s="1"/>
  <c r="E9" i="2"/>
  <c r="F9" i="2" s="1"/>
  <c r="E10" i="2"/>
  <c r="F10" i="2" s="1"/>
  <c r="K14" i="5"/>
  <c r="E6" i="2"/>
  <c r="G6" i="2" s="1"/>
  <c r="C11" i="5"/>
  <c r="G11" i="5" s="1"/>
  <c r="C12" i="5"/>
  <c r="G12" i="5" s="1"/>
  <c r="C14" i="5"/>
  <c r="G14" i="5" s="1"/>
  <c r="C5" i="5"/>
  <c r="G5" i="5" s="1"/>
  <c r="C6" i="5"/>
  <c r="G6" i="5" s="1"/>
  <c r="C3" i="5"/>
  <c r="G3" i="5" s="1"/>
  <c r="C12" i="2"/>
  <c r="C13" i="2"/>
  <c r="C14" i="2"/>
  <c r="C15" i="2"/>
  <c r="C16" i="2"/>
  <c r="C17" i="2"/>
  <c r="C18" i="2"/>
  <c r="C19" i="2"/>
  <c r="B12" i="2"/>
  <c r="B13" i="2"/>
  <c r="B14" i="2"/>
  <c r="B15" i="2"/>
  <c r="B16" i="2"/>
  <c r="B17" i="2"/>
  <c r="B18" i="2"/>
  <c r="B19" i="2"/>
  <c r="K20" i="5"/>
  <c r="E23" i="2"/>
  <c r="G7" i="2"/>
  <c r="E3" i="2"/>
  <c r="G3" i="2" s="1"/>
  <c r="E4" i="2"/>
  <c r="G4" i="2" s="1"/>
  <c r="E5" i="2"/>
  <c r="E14" i="2" s="1"/>
  <c r="E2" i="2"/>
  <c r="E11" i="2" s="1"/>
  <c r="G11" i="2" s="1"/>
  <c r="D12" i="2"/>
  <c r="D16" i="2"/>
  <c r="D18" i="2"/>
  <c r="D19" i="2"/>
  <c r="K6" i="2"/>
  <c r="B11" i="2"/>
  <c r="K3" i="2"/>
  <c r="K4" i="2"/>
  <c r="K5" i="2"/>
  <c r="K7" i="2"/>
  <c r="K8" i="2"/>
  <c r="K9" i="2"/>
  <c r="K10" i="2"/>
  <c r="K2" i="2"/>
  <c r="C20" i="2"/>
  <c r="C23" i="2"/>
  <c r="C24" i="2"/>
  <c r="C11" i="2"/>
  <c r="C21" i="2"/>
  <c r="C22" i="2"/>
  <c r="O6" i="4"/>
  <c r="O5" i="4"/>
  <c r="O4" i="4"/>
  <c r="O3" i="4"/>
  <c r="O2" i="4"/>
  <c r="N6" i="4"/>
  <c r="M6" i="4"/>
  <c r="N5" i="4"/>
  <c r="M5" i="4"/>
  <c r="N4" i="4"/>
  <c r="M4" i="4"/>
  <c r="N3" i="4"/>
  <c r="M3" i="4"/>
  <c r="N2" i="4"/>
  <c r="M2" i="4"/>
  <c r="K13" i="5"/>
  <c r="K12" i="5"/>
  <c r="K11" i="5"/>
  <c r="K10" i="5"/>
  <c r="K6" i="5"/>
  <c r="K5" i="5"/>
  <c r="K4" i="5"/>
  <c r="K3" i="5"/>
  <c r="M2" i="5"/>
  <c r="J20" i="5" l="1"/>
  <c r="C10" i="5"/>
  <c r="G10" i="5" s="1"/>
  <c r="E12" i="2"/>
  <c r="F12" i="2" s="1"/>
  <c r="G17" i="5"/>
  <c r="G19" i="5"/>
  <c r="E18" i="2"/>
  <c r="G18" i="5"/>
  <c r="E22" i="2"/>
  <c r="F22" i="2" s="1"/>
  <c r="D24" i="2"/>
  <c r="G16" i="5"/>
  <c r="K16" i="5"/>
  <c r="G9" i="2"/>
  <c r="D23" i="2"/>
  <c r="D22" i="2"/>
  <c r="E21" i="2"/>
  <c r="F21" i="2" s="1"/>
  <c r="J18" i="5"/>
  <c r="J19" i="5"/>
  <c r="J17" i="5"/>
  <c r="F3" i="2"/>
  <c r="E17" i="2"/>
  <c r="G17" i="2" s="1"/>
  <c r="D21" i="2"/>
  <c r="G24" i="2"/>
  <c r="G23" i="2"/>
  <c r="F23" i="2"/>
  <c r="K19" i="5"/>
  <c r="G10" i="2"/>
  <c r="E19" i="2"/>
  <c r="F8" i="2"/>
  <c r="G12" i="2"/>
  <c r="F2" i="2"/>
  <c r="G2" i="2"/>
  <c r="E16" i="2"/>
  <c r="G16" i="2" s="1"/>
  <c r="F7" i="2"/>
  <c r="G14" i="2"/>
  <c r="F14" i="2"/>
  <c r="F4" i="2"/>
  <c r="E15" i="2"/>
  <c r="G15" i="2" s="1"/>
  <c r="E13" i="2"/>
  <c r="F6" i="2"/>
  <c r="F5" i="2"/>
  <c r="G5" i="2"/>
  <c r="F20" i="2"/>
  <c r="N2" i="5"/>
  <c r="F11" i="2"/>
  <c r="J10" i="5"/>
  <c r="J5" i="5"/>
  <c r="J11" i="5"/>
  <c r="J6" i="5"/>
  <c r="J12" i="5"/>
  <c r="J3" i="5"/>
  <c r="J16" i="5"/>
  <c r="J4" i="5"/>
  <c r="F6" i="4"/>
  <c r="H6" i="4" s="1"/>
  <c r="J6" i="4" s="1"/>
  <c r="F2" i="4"/>
  <c r="H2" i="4" s="1"/>
  <c r="I2" i="4" s="1"/>
  <c r="F5" i="4"/>
  <c r="H5" i="4" s="1"/>
  <c r="J5" i="4" s="1"/>
  <c r="F4" i="4"/>
  <c r="H4" i="4" s="1"/>
  <c r="I4" i="4" s="1"/>
  <c r="B10" i="5" s="1"/>
  <c r="B18" i="5" s="1"/>
  <c r="F3" i="4"/>
  <c r="H3" i="4" s="1"/>
  <c r="J3" i="4" s="1"/>
  <c r="B13" i="5" l="1"/>
  <c r="H12" i="5"/>
  <c r="H14" i="5" s="1"/>
  <c r="I14" i="5" s="1"/>
  <c r="H10" i="5"/>
  <c r="H11" i="5" s="1"/>
  <c r="F18" i="2"/>
  <c r="G18" i="2"/>
  <c r="G22" i="2"/>
  <c r="G21" i="2"/>
  <c r="F17" i="2"/>
  <c r="I6" i="4"/>
  <c r="B6" i="5" s="1"/>
  <c r="B20" i="5" s="1"/>
  <c r="G19" i="2"/>
  <c r="F19" i="2"/>
  <c r="F15" i="2"/>
  <c r="F16" i="2"/>
  <c r="G13" i="2"/>
  <c r="F13" i="2"/>
  <c r="J2" i="4"/>
  <c r="I3" i="4"/>
  <c r="B14" i="5" s="1"/>
  <c r="B17" i="5" s="1"/>
  <c r="J4" i="4"/>
  <c r="I5" i="4"/>
  <c r="B11" i="5" s="1"/>
  <c r="B19" i="5" s="1"/>
  <c r="B16" i="5" l="1"/>
  <c r="B12" i="5"/>
  <c r="L2" i="4"/>
  <c r="B3" i="5" s="1"/>
  <c r="I10" i="5"/>
  <c r="I11" i="5"/>
  <c r="I12" i="5"/>
  <c r="B4" i="5" l="1"/>
  <c r="B5" i="5" s="1"/>
  <c r="I13" i="5"/>
  <c r="L6" i="5" l="1"/>
</calcChain>
</file>

<file path=xl/sharedStrings.xml><?xml version="1.0" encoding="utf-8"?>
<sst xmlns="http://schemas.openxmlformats.org/spreadsheetml/2006/main" count="137" uniqueCount="71">
  <si>
    <t>id</t>
  </si>
  <si>
    <t>type</t>
  </si>
  <si>
    <t>pressure(MPa)</t>
  </si>
  <si>
    <t>injection(kg/s)</t>
  </si>
  <si>
    <t>T(Celsius)</t>
  </si>
  <si>
    <t>remark</t>
  </si>
  <si>
    <t>my_type</t>
  </si>
  <si>
    <t>定压力</t>
  </si>
  <si>
    <t>供水网</t>
  </si>
  <si>
    <t>定注入</t>
  </si>
  <si>
    <t>outlet</t>
  </si>
  <si>
    <t>from node</t>
  </si>
  <si>
    <t>to node</t>
  </si>
  <si>
    <t>length</t>
  </si>
  <si>
    <t>diameter</t>
  </si>
  <si>
    <t>fraction</t>
  </si>
  <si>
    <t>disspation</t>
  </si>
  <si>
    <t>valve</t>
  </si>
  <si>
    <t>pump</t>
  </si>
  <si>
    <t>valve-1</t>
  </si>
  <si>
    <t>valve-2</t>
  </si>
  <si>
    <t>valve-3</t>
  </si>
  <si>
    <t>valve-4</t>
  </si>
  <si>
    <t>valve-5</t>
  </si>
  <si>
    <t>width</t>
  </si>
  <si>
    <t>height</t>
  </si>
  <si>
    <t>floors</t>
  </si>
  <si>
    <t>供热面积</t>
  </si>
  <si>
    <t>dT(C)</t>
  </si>
  <si>
    <t>设计负荷(W)</t>
  </si>
  <si>
    <t>目标流量(t/h)</t>
  </si>
  <si>
    <t>UA</t>
  </si>
  <si>
    <t>总流量</t>
  </si>
  <si>
    <t>residence</t>
  </si>
  <si>
    <t>管段编号</t>
  </si>
  <si>
    <t>计算流量(t/h)</t>
  </si>
  <si>
    <t>管段长度(m)</t>
  </si>
  <si>
    <t>直径（mm）</t>
  </si>
  <si>
    <t>流速</t>
  </si>
  <si>
    <t>比摩阻</t>
  </si>
  <si>
    <t>压力损失（Pa）</t>
  </si>
  <si>
    <t>最大压降（Pa）</t>
  </si>
  <si>
    <t>最大比摩阻</t>
  </si>
  <si>
    <t>雷诺数</t>
  </si>
  <si>
    <t>lamda(阻力平方区用尼古拉兹公式)</t>
  </si>
  <si>
    <r>
      <rPr>
        <sz val="11"/>
        <color theme="1"/>
        <rFont val="宋体"/>
        <charset val="134"/>
        <scheme val="minor"/>
      </rPr>
      <t>水的密度(kg/m</t>
    </r>
    <r>
      <rPr>
        <vertAlign val="super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)</t>
    </r>
  </si>
  <si>
    <t>动力黏度(Pa s)</t>
  </si>
  <si>
    <t>总压降</t>
  </si>
  <si>
    <t>干路</t>
  </si>
  <si>
    <t>2,3</t>
  </si>
  <si>
    <t>3,4</t>
  </si>
  <si>
    <t>支路</t>
  </si>
  <si>
    <t>回水网</t>
    <phoneticPr fontId="2" type="noConversion"/>
  </si>
  <si>
    <t>l_random</t>
    <phoneticPr fontId="4" type="noConversion"/>
  </si>
  <si>
    <t>w_random</t>
    <phoneticPr fontId="4" type="noConversion"/>
  </si>
  <si>
    <t>floor_random</t>
    <phoneticPr fontId="4" type="noConversion"/>
  </si>
  <si>
    <t>L_R</t>
    <phoneticPr fontId="4" type="noConversion"/>
  </si>
  <si>
    <t>负荷</t>
    <phoneticPr fontId="4" type="noConversion"/>
  </si>
  <si>
    <t>回水网</t>
    <phoneticPr fontId="4" type="noConversion"/>
  </si>
  <si>
    <t>6,16</t>
    <phoneticPr fontId="4" type="noConversion"/>
  </si>
  <si>
    <t>7,17</t>
    <phoneticPr fontId="4" type="noConversion"/>
  </si>
  <si>
    <t>8,18</t>
    <phoneticPr fontId="4" type="noConversion"/>
  </si>
  <si>
    <t>9,19</t>
    <phoneticPr fontId="4" type="noConversion"/>
  </si>
  <si>
    <t>10,20</t>
    <phoneticPr fontId="4" type="noConversion"/>
  </si>
  <si>
    <t>1,2</t>
    <phoneticPr fontId="4" type="noConversion"/>
  </si>
  <si>
    <t>4,10</t>
    <phoneticPr fontId="4" type="noConversion"/>
  </si>
  <si>
    <t>3,8</t>
    <phoneticPr fontId="4" type="noConversion"/>
  </si>
  <si>
    <t>4,9</t>
    <phoneticPr fontId="4" type="noConversion"/>
  </si>
  <si>
    <t>2,5</t>
    <phoneticPr fontId="4" type="noConversion"/>
  </si>
  <si>
    <t>5,6</t>
    <phoneticPr fontId="4" type="noConversion"/>
  </si>
  <si>
    <t>5,7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</si>
</sst>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charset val="134"/>
      <scheme val="minor"/>
    </font>
    <font>
      <vertAlign val="superscript"/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/>
      <bottom/>
      <diagonal/>
    </border>
    <border>
      <left/>
      <right style="dashed">
        <color indexed="64"/>
      </right>
      <top/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3" borderId="0" xfId="0" applyFill="1">
      <alignment vertical="center"/>
    </xf>
    <xf numFmtId="0" fontId="3" fillId="0" borderId="0" xfId="0" applyFont="1">
      <alignment vertical="center"/>
    </xf>
    <xf numFmtId="0" fontId="0" fillId="4" borderId="0" xfId="0" applyFill="1">
      <alignment vertical="center"/>
    </xf>
    <xf numFmtId="0" fontId="3" fillId="2" borderId="0" xfId="0" applyFont="1" applyFill="1">
      <alignment vertical="center"/>
    </xf>
    <xf numFmtId="0" fontId="0" fillId="5" borderId="9" xfId="0" applyFill="1" applyBorder="1">
      <alignment vertical="center"/>
    </xf>
    <xf numFmtId="0" fontId="0" fillId="5" borderId="10" xfId="0" applyFill="1" applyBorder="1">
      <alignment vertical="center"/>
    </xf>
    <xf numFmtId="0" fontId="0" fillId="5" borderId="11" xfId="0" applyFill="1" applyBorder="1">
      <alignment vertical="center"/>
    </xf>
    <xf numFmtId="0" fontId="0" fillId="5" borderId="12" xfId="0" applyFill="1" applyBorder="1">
      <alignment vertical="center"/>
    </xf>
    <xf numFmtId="0" fontId="0" fillId="5" borderId="13" xfId="0" applyFill="1" applyBorder="1">
      <alignment vertical="center"/>
    </xf>
    <xf numFmtId="0" fontId="0" fillId="5" borderId="14" xfId="0" applyFill="1" applyBorder="1">
      <alignment vertical="center"/>
    </xf>
    <xf numFmtId="0" fontId="0" fillId="5" borderId="15" xfId="0" applyFill="1" applyBorder="1">
      <alignment vertical="center"/>
    </xf>
    <xf numFmtId="0" fontId="0" fillId="5" borderId="16" xfId="0" applyFill="1" applyBorder="1">
      <alignment vertical="center"/>
    </xf>
    <xf numFmtId="0" fontId="0" fillId="5" borderId="17" xfId="0" applyFill="1" applyBorder="1">
      <alignment vertical="center"/>
    </xf>
    <xf numFmtId="58" fontId="3" fillId="0" borderId="0" xfId="0" applyNumberFormat="1" applyFont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7" borderId="1" xfId="0" applyFill="1" applyBorder="1">
      <alignment vertical="center"/>
    </xf>
    <xf numFmtId="0" fontId="0" fillId="7" borderId="2" xfId="0" applyFill="1" applyBorder="1">
      <alignment vertical="center"/>
    </xf>
    <xf numFmtId="0" fontId="0" fillId="7" borderId="3" xfId="0" applyFill="1" applyBorder="1">
      <alignment vertical="center"/>
    </xf>
    <xf numFmtId="0" fontId="0" fillId="7" borderId="4" xfId="0" applyFill="1" applyBorder="1">
      <alignment vertical="center"/>
    </xf>
    <xf numFmtId="0" fontId="0" fillId="7" borderId="5" xfId="0" applyFill="1" applyBorder="1">
      <alignment vertical="center"/>
    </xf>
    <xf numFmtId="0" fontId="0" fillId="7" borderId="6" xfId="0" applyFill="1" applyBorder="1">
      <alignment vertical="center"/>
    </xf>
    <xf numFmtId="0" fontId="0" fillId="7" borderId="7" xfId="0" applyFill="1" applyBorder="1">
      <alignment vertical="center"/>
    </xf>
    <xf numFmtId="0" fontId="0" fillId="7" borderId="8" xfId="0" applyFill="1" applyBorder="1">
      <alignment vertical="center"/>
    </xf>
    <xf numFmtId="0" fontId="3" fillId="7" borderId="0" xfId="0" applyFont="1" applyFill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workbookViewId="0">
      <selection activeCell="D22" sqref="D22"/>
    </sheetView>
  </sheetViews>
  <sheetFormatPr defaultColWidth="9.23046875" defaultRowHeight="14.15" x14ac:dyDescent="0.3"/>
  <cols>
    <col min="1" max="1" width="10.3046875" customWidth="1"/>
    <col min="2" max="2" width="15" customWidth="1"/>
    <col min="3" max="3" width="14.84375" customWidth="1"/>
    <col min="4" max="4" width="14.921875" customWidth="1"/>
    <col min="5" max="5" width="10.4609375" customWidth="1"/>
    <col min="6" max="6" width="8.15234375" customWidth="1"/>
    <col min="7" max="7" width="9.07421875" customWidth="1"/>
    <col min="10" max="10" width="17.3828125" customWidth="1"/>
    <col min="11" max="11" width="37.30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>
        <v>0.2</v>
      </c>
      <c r="E2">
        <v>55</v>
      </c>
      <c r="F2" t="s">
        <v>8</v>
      </c>
    </row>
    <row r="3" spans="1:7" x14ac:dyDescent="0.3">
      <c r="A3">
        <v>2</v>
      </c>
      <c r="B3" t="s">
        <v>9</v>
      </c>
      <c r="F3" t="s">
        <v>8</v>
      </c>
    </row>
    <row r="4" spans="1:7" x14ac:dyDescent="0.3">
      <c r="A4">
        <v>3</v>
      </c>
      <c r="B4" t="s">
        <v>9</v>
      </c>
      <c r="F4" t="s">
        <v>8</v>
      </c>
    </row>
    <row r="5" spans="1:7" x14ac:dyDescent="0.3">
      <c r="A5">
        <v>4</v>
      </c>
      <c r="B5" t="s">
        <v>9</v>
      </c>
      <c r="F5" t="s">
        <v>8</v>
      </c>
    </row>
    <row r="6" spans="1:7" x14ac:dyDescent="0.3">
      <c r="A6">
        <v>5</v>
      </c>
      <c r="B6" t="s">
        <v>9</v>
      </c>
      <c r="F6" t="s">
        <v>8</v>
      </c>
    </row>
    <row r="7" spans="1:7" x14ac:dyDescent="0.3">
      <c r="A7">
        <v>6</v>
      </c>
      <c r="B7" t="s">
        <v>9</v>
      </c>
      <c r="F7" t="s">
        <v>8</v>
      </c>
    </row>
    <row r="8" spans="1:7" x14ac:dyDescent="0.3">
      <c r="A8">
        <v>7</v>
      </c>
      <c r="B8" t="s">
        <v>9</v>
      </c>
      <c r="F8" t="s">
        <v>8</v>
      </c>
    </row>
    <row r="9" spans="1:7" x14ac:dyDescent="0.3">
      <c r="A9">
        <v>8</v>
      </c>
      <c r="B9" t="s">
        <v>9</v>
      </c>
      <c r="F9" t="s">
        <v>8</v>
      </c>
    </row>
    <row r="10" spans="1:7" x14ac:dyDescent="0.3">
      <c r="A10">
        <v>9</v>
      </c>
      <c r="B10" t="s">
        <v>9</v>
      </c>
      <c r="F10" t="s">
        <v>8</v>
      </c>
    </row>
    <row r="11" spans="1:7" x14ac:dyDescent="0.3">
      <c r="A11">
        <v>10</v>
      </c>
      <c r="B11" t="s">
        <v>9</v>
      </c>
      <c r="F11" t="s">
        <v>8</v>
      </c>
    </row>
    <row r="12" spans="1:7" x14ac:dyDescent="0.3">
      <c r="A12">
        <v>11</v>
      </c>
      <c r="B12" t="s">
        <v>9</v>
      </c>
      <c r="F12" s="3" t="s">
        <v>52</v>
      </c>
      <c r="G12" t="s">
        <v>10</v>
      </c>
    </row>
    <row r="13" spans="1:7" x14ac:dyDescent="0.3">
      <c r="A13">
        <v>12</v>
      </c>
      <c r="B13" t="s">
        <v>9</v>
      </c>
      <c r="F13" s="3" t="s">
        <v>52</v>
      </c>
    </row>
    <row r="14" spans="1:7" x14ac:dyDescent="0.3">
      <c r="A14">
        <v>13</v>
      </c>
      <c r="B14" t="s">
        <v>9</v>
      </c>
      <c r="F14" s="3" t="s">
        <v>52</v>
      </c>
    </row>
    <row r="15" spans="1:7" x14ac:dyDescent="0.3">
      <c r="A15">
        <v>14</v>
      </c>
      <c r="B15" t="s">
        <v>9</v>
      </c>
      <c r="F15" s="3" t="s">
        <v>52</v>
      </c>
    </row>
    <row r="16" spans="1:7" x14ac:dyDescent="0.3">
      <c r="A16">
        <v>15</v>
      </c>
      <c r="B16" t="s">
        <v>9</v>
      </c>
      <c r="F16" s="3" t="s">
        <v>52</v>
      </c>
    </row>
    <row r="17" spans="1:6" x14ac:dyDescent="0.3">
      <c r="A17">
        <v>16</v>
      </c>
      <c r="B17" t="s">
        <v>9</v>
      </c>
      <c r="F17" s="3" t="s">
        <v>52</v>
      </c>
    </row>
    <row r="18" spans="1:6" x14ac:dyDescent="0.3">
      <c r="A18">
        <v>17</v>
      </c>
      <c r="B18" t="s">
        <v>9</v>
      </c>
      <c r="F18" s="3" t="s">
        <v>52</v>
      </c>
    </row>
    <row r="19" spans="1:6" x14ac:dyDescent="0.3">
      <c r="A19">
        <v>18</v>
      </c>
      <c r="B19" t="s">
        <v>9</v>
      </c>
      <c r="F19" s="3" t="s">
        <v>52</v>
      </c>
    </row>
    <row r="20" spans="1:6" x14ac:dyDescent="0.3">
      <c r="A20">
        <v>19</v>
      </c>
      <c r="B20" t="s">
        <v>9</v>
      </c>
      <c r="F20" s="3" t="s">
        <v>52</v>
      </c>
    </row>
    <row r="21" spans="1:6" x14ac:dyDescent="0.3">
      <c r="A21">
        <v>20</v>
      </c>
      <c r="B21" t="s">
        <v>9</v>
      </c>
      <c r="F21" s="3" t="s">
        <v>52</v>
      </c>
    </row>
    <row r="22" spans="1:6" x14ac:dyDescent="0.3">
      <c r="F22" s="3"/>
    </row>
    <row r="23" spans="1:6" x14ac:dyDescent="0.3">
      <c r="F23" s="3"/>
    </row>
    <row r="24" spans="1:6" x14ac:dyDescent="0.3">
      <c r="F24" s="3"/>
    </row>
    <row r="25" spans="1:6" x14ac:dyDescent="0.3">
      <c r="F25" s="3"/>
    </row>
    <row r="26" spans="1:6" x14ac:dyDescent="0.3">
      <c r="F26" s="3"/>
    </row>
    <row r="27" spans="1:6" x14ac:dyDescent="0.3">
      <c r="F27" s="3"/>
    </row>
    <row r="28" spans="1:6" x14ac:dyDescent="0.3">
      <c r="F28" s="3"/>
    </row>
    <row r="29" spans="1:6" x14ac:dyDescent="0.3">
      <c r="F29" s="3"/>
    </row>
    <row r="30" spans="1:6" x14ac:dyDescent="0.3">
      <c r="F30" s="3"/>
    </row>
    <row r="31" spans="1:6" x14ac:dyDescent="0.3">
      <c r="F31" s="3"/>
    </row>
    <row r="32" spans="1:6" x14ac:dyDescent="0.3">
      <c r="F32" s="3"/>
    </row>
    <row r="33" spans="6:6" x14ac:dyDescent="0.3">
      <c r="F33" s="3"/>
    </row>
    <row r="34" spans="6:6" x14ac:dyDescent="0.3">
      <c r="F34" s="3"/>
    </row>
    <row r="35" spans="6:6" x14ac:dyDescent="0.3">
      <c r="F35" s="3"/>
    </row>
    <row r="36" spans="6:6" x14ac:dyDescent="0.3">
      <c r="F36" s="3"/>
    </row>
    <row r="37" spans="6:6" x14ac:dyDescent="0.3">
      <c r="F37" s="3"/>
    </row>
    <row r="38" spans="6:6" x14ac:dyDescent="0.3">
      <c r="F38" s="3"/>
    </row>
    <row r="39" spans="6:6" x14ac:dyDescent="0.3">
      <c r="F39" s="3"/>
    </row>
    <row r="40" spans="6:6" x14ac:dyDescent="0.3">
      <c r="F40" s="3"/>
    </row>
    <row r="41" spans="6:6" x14ac:dyDescent="0.3">
      <c r="F41" s="3"/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4"/>
  <sheetViews>
    <sheetView zoomScale="72" zoomScaleNormal="72" workbookViewId="0">
      <selection activeCell="D2" sqref="D2:D10"/>
    </sheetView>
  </sheetViews>
  <sheetFormatPr defaultColWidth="9.23046875" defaultRowHeight="14.15" x14ac:dyDescent="0.3"/>
  <cols>
    <col min="2" max="2" width="10.765625" customWidth="1"/>
    <col min="4" max="4" width="7.23046875" customWidth="1"/>
    <col min="5" max="5" width="9.4609375" customWidth="1"/>
    <col min="6" max="7" width="12.921875" customWidth="1"/>
  </cols>
  <sheetData>
    <row r="1" spans="1:11" x14ac:dyDescent="0.3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5</v>
      </c>
      <c r="K1" s="3" t="s">
        <v>56</v>
      </c>
    </row>
    <row r="2" spans="1:11" x14ac:dyDescent="0.3">
      <c r="A2" s="2">
        <v>1</v>
      </c>
      <c r="B2">
        <v>1</v>
      </c>
      <c r="C2">
        <v>2</v>
      </c>
      <c r="D2" s="6">
        <v>30</v>
      </c>
      <c r="E2">
        <f>管径设计!D3</f>
        <v>200</v>
      </c>
      <c r="F2">
        <f>1/(1.14+2*LOG10((E2/0.5)))^2</f>
        <v>2.4846042519733526E-2</v>
      </c>
      <c r="G2">
        <f>3.14*E2/1000/(0.03/0.023+0.01/0.5+1/1500+1/100)</f>
        <v>0.47040687828390293</v>
      </c>
      <c r="J2" t="s">
        <v>8</v>
      </c>
      <c r="K2">
        <f ca="1">RANDBETWEEN(30,100)</f>
        <v>32</v>
      </c>
    </row>
    <row r="3" spans="1:11" x14ac:dyDescent="0.3">
      <c r="A3" s="2">
        <v>2</v>
      </c>
      <c r="B3">
        <v>2</v>
      </c>
      <c r="C3">
        <v>3</v>
      </c>
      <c r="D3" s="7">
        <v>45</v>
      </c>
      <c r="E3">
        <f>管径设计!D4</f>
        <v>200</v>
      </c>
      <c r="F3">
        <f t="shared" ref="F3:F24" si="0">1/(1.14+2*LOG10((E3/0.5)))^2</f>
        <v>2.4846042519733526E-2</v>
      </c>
      <c r="G3">
        <f t="shared" ref="G3:G24" si="1">3.14*E3/1000/(0.03/0.023+0.01/0.5+1/1500+1/100)</f>
        <v>0.47040687828390293</v>
      </c>
      <c r="J3" t="s">
        <v>8</v>
      </c>
      <c r="K3">
        <f t="shared" ref="K3:K10" ca="1" si="2">RANDBETWEEN(30,100)</f>
        <v>96</v>
      </c>
    </row>
    <row r="4" spans="1:11" x14ac:dyDescent="0.3">
      <c r="A4" s="2">
        <v>3</v>
      </c>
      <c r="B4">
        <v>3</v>
      </c>
      <c r="C4">
        <v>4</v>
      </c>
      <c r="D4" s="7">
        <v>82</v>
      </c>
      <c r="E4">
        <f>管径设计!D5</f>
        <v>150</v>
      </c>
      <c r="F4">
        <f t="shared" si="0"/>
        <v>2.6925299052784474E-2</v>
      </c>
      <c r="G4">
        <f t="shared" si="1"/>
        <v>0.35280515871292717</v>
      </c>
      <c r="J4" t="s">
        <v>8</v>
      </c>
      <c r="K4">
        <f t="shared" ca="1" si="2"/>
        <v>37</v>
      </c>
    </row>
    <row r="5" spans="1:11" x14ac:dyDescent="0.3">
      <c r="A5" s="2">
        <v>4</v>
      </c>
      <c r="B5">
        <v>4</v>
      </c>
      <c r="C5">
        <v>10</v>
      </c>
      <c r="D5" s="7">
        <v>99</v>
      </c>
      <c r="E5">
        <f>管径设计!D6</f>
        <v>125</v>
      </c>
      <c r="F5">
        <f t="shared" si="0"/>
        <v>2.8381135828692533E-2</v>
      </c>
      <c r="G5">
        <f t="shared" si="1"/>
        <v>0.29400429892743934</v>
      </c>
      <c r="H5">
        <v>5</v>
      </c>
      <c r="J5" t="s">
        <v>8</v>
      </c>
      <c r="K5">
        <f t="shared" ca="1" si="2"/>
        <v>70</v>
      </c>
    </row>
    <row r="6" spans="1:11" x14ac:dyDescent="0.3">
      <c r="A6" s="2">
        <v>5</v>
      </c>
      <c r="B6">
        <v>3</v>
      </c>
      <c r="C6">
        <v>8</v>
      </c>
      <c r="D6" s="7">
        <v>62</v>
      </c>
      <c r="E6">
        <f>管径设计!D10</f>
        <v>100</v>
      </c>
      <c r="F6">
        <f t="shared" si="0"/>
        <v>3.0329450982592862E-2</v>
      </c>
      <c r="G6">
        <f t="shared" si="1"/>
        <v>0.23520343914195146</v>
      </c>
      <c r="H6">
        <v>3</v>
      </c>
      <c r="J6" t="s">
        <v>8</v>
      </c>
      <c r="K6">
        <f t="shared" ca="1" si="2"/>
        <v>97</v>
      </c>
    </row>
    <row r="7" spans="1:11" x14ac:dyDescent="0.3">
      <c r="A7" s="2">
        <v>6</v>
      </c>
      <c r="B7">
        <v>4</v>
      </c>
      <c r="C7">
        <v>9</v>
      </c>
      <c r="D7" s="7">
        <v>84</v>
      </c>
      <c r="E7">
        <f>管径设计!D11</f>
        <v>125</v>
      </c>
      <c r="F7">
        <f t="shared" si="0"/>
        <v>2.8381135828692533E-2</v>
      </c>
      <c r="G7">
        <f t="shared" si="1"/>
        <v>0.29400429892743934</v>
      </c>
      <c r="H7">
        <v>4</v>
      </c>
      <c r="J7" t="s">
        <v>8</v>
      </c>
      <c r="K7">
        <f t="shared" ca="1" si="2"/>
        <v>97</v>
      </c>
    </row>
    <row r="8" spans="1:11" x14ac:dyDescent="0.3">
      <c r="A8" s="2">
        <v>7</v>
      </c>
      <c r="B8">
        <v>2</v>
      </c>
      <c r="C8">
        <v>5</v>
      </c>
      <c r="D8" s="7">
        <v>67</v>
      </c>
      <c r="E8">
        <f>管径设计!D12</f>
        <v>125</v>
      </c>
      <c r="F8">
        <f t="shared" si="0"/>
        <v>2.8381135828692533E-2</v>
      </c>
      <c r="G8">
        <f t="shared" si="1"/>
        <v>0.29400429892743934</v>
      </c>
      <c r="J8" t="s">
        <v>8</v>
      </c>
      <c r="K8">
        <f t="shared" ca="1" si="2"/>
        <v>41</v>
      </c>
    </row>
    <row r="9" spans="1:11" x14ac:dyDescent="0.3">
      <c r="A9" s="2">
        <v>8</v>
      </c>
      <c r="B9">
        <v>5</v>
      </c>
      <c r="C9">
        <v>6</v>
      </c>
      <c r="D9" s="7">
        <v>92</v>
      </c>
      <c r="E9">
        <f>管径设计!D13</f>
        <v>65</v>
      </c>
      <c r="F9">
        <f t="shared" si="0"/>
        <v>3.4705101432211748E-2</v>
      </c>
      <c r="G9">
        <f t="shared" si="1"/>
        <v>0.15288223544226845</v>
      </c>
      <c r="H9">
        <v>1</v>
      </c>
      <c r="J9" t="s">
        <v>8</v>
      </c>
      <c r="K9">
        <f t="shared" ca="1" si="2"/>
        <v>92</v>
      </c>
    </row>
    <row r="10" spans="1:11" x14ac:dyDescent="0.3">
      <c r="A10" s="2">
        <v>9</v>
      </c>
      <c r="B10">
        <v>5</v>
      </c>
      <c r="C10">
        <v>7</v>
      </c>
      <c r="D10" s="8">
        <v>37</v>
      </c>
      <c r="E10">
        <f>管径设计!D14</f>
        <v>100</v>
      </c>
      <c r="F10">
        <f t="shared" si="0"/>
        <v>3.0329450982592862E-2</v>
      </c>
      <c r="G10">
        <f t="shared" si="1"/>
        <v>0.23520343914195146</v>
      </c>
      <c r="H10">
        <v>2</v>
      </c>
      <c r="J10" t="s">
        <v>8</v>
      </c>
      <c r="K10">
        <f t="shared" ca="1" si="2"/>
        <v>32</v>
      </c>
    </row>
    <row r="11" spans="1:11" x14ac:dyDescent="0.3">
      <c r="A11" s="4">
        <v>10</v>
      </c>
      <c r="B11">
        <f>C2+10</f>
        <v>12</v>
      </c>
      <c r="C11">
        <f>B2+10</f>
        <v>11</v>
      </c>
      <c r="D11">
        <f>D2</f>
        <v>30</v>
      </c>
      <c r="E11">
        <f>E2</f>
        <v>200</v>
      </c>
      <c r="F11">
        <f t="shared" si="0"/>
        <v>2.4846042519733526E-2</v>
      </c>
      <c r="G11">
        <f t="shared" si="1"/>
        <v>0.47040687828390293</v>
      </c>
      <c r="J11" s="3" t="s">
        <v>58</v>
      </c>
    </row>
    <row r="12" spans="1:11" x14ac:dyDescent="0.3">
      <c r="A12" s="4">
        <v>11</v>
      </c>
      <c r="B12">
        <f t="shared" ref="B12:B19" si="3">C3+10</f>
        <v>13</v>
      </c>
      <c r="C12">
        <f t="shared" ref="C12:C19" si="4">B3+10</f>
        <v>12</v>
      </c>
      <c r="D12">
        <f t="shared" ref="D12:E19" si="5">D3</f>
        <v>45</v>
      </c>
      <c r="E12">
        <f t="shared" si="5"/>
        <v>200</v>
      </c>
      <c r="F12">
        <f t="shared" si="0"/>
        <v>2.4846042519733526E-2</v>
      </c>
      <c r="G12">
        <f t="shared" si="1"/>
        <v>0.47040687828390293</v>
      </c>
      <c r="J12" s="3" t="s">
        <v>58</v>
      </c>
    </row>
    <row r="13" spans="1:11" x14ac:dyDescent="0.3">
      <c r="A13" s="4">
        <v>12</v>
      </c>
      <c r="B13">
        <f t="shared" si="3"/>
        <v>14</v>
      </c>
      <c r="C13">
        <f t="shared" si="4"/>
        <v>13</v>
      </c>
      <c r="D13">
        <f t="shared" si="5"/>
        <v>82</v>
      </c>
      <c r="E13">
        <f t="shared" si="5"/>
        <v>150</v>
      </c>
      <c r="F13">
        <f t="shared" si="0"/>
        <v>2.6925299052784474E-2</v>
      </c>
      <c r="G13">
        <f t="shared" si="1"/>
        <v>0.35280515871292717</v>
      </c>
      <c r="J13" s="3" t="s">
        <v>58</v>
      </c>
    </row>
    <row r="14" spans="1:11" x14ac:dyDescent="0.3">
      <c r="A14" s="4">
        <v>13</v>
      </c>
      <c r="B14">
        <f t="shared" si="3"/>
        <v>20</v>
      </c>
      <c r="C14">
        <f t="shared" si="4"/>
        <v>14</v>
      </c>
      <c r="D14">
        <f t="shared" si="5"/>
        <v>99</v>
      </c>
      <c r="E14">
        <f t="shared" si="5"/>
        <v>125</v>
      </c>
      <c r="F14">
        <f t="shared" si="0"/>
        <v>2.8381135828692533E-2</v>
      </c>
      <c r="G14">
        <f t="shared" si="1"/>
        <v>0.29400429892743934</v>
      </c>
      <c r="J14" s="3" t="s">
        <v>58</v>
      </c>
    </row>
    <row r="15" spans="1:11" x14ac:dyDescent="0.3">
      <c r="A15" s="4">
        <v>14</v>
      </c>
      <c r="B15">
        <f t="shared" si="3"/>
        <v>18</v>
      </c>
      <c r="C15">
        <f t="shared" si="4"/>
        <v>13</v>
      </c>
      <c r="D15">
        <f t="shared" si="5"/>
        <v>62</v>
      </c>
      <c r="E15">
        <f t="shared" si="5"/>
        <v>100</v>
      </c>
      <c r="F15">
        <f t="shared" si="0"/>
        <v>3.0329450982592862E-2</v>
      </c>
      <c r="G15">
        <f t="shared" si="1"/>
        <v>0.23520343914195146</v>
      </c>
      <c r="J15" s="3" t="s">
        <v>58</v>
      </c>
    </row>
    <row r="16" spans="1:11" x14ac:dyDescent="0.3">
      <c r="A16" s="4">
        <v>15</v>
      </c>
      <c r="B16">
        <f t="shared" si="3"/>
        <v>19</v>
      </c>
      <c r="C16">
        <f t="shared" si="4"/>
        <v>14</v>
      </c>
      <c r="D16">
        <f t="shared" si="5"/>
        <v>84</v>
      </c>
      <c r="E16">
        <f t="shared" si="5"/>
        <v>125</v>
      </c>
      <c r="F16">
        <f t="shared" si="0"/>
        <v>2.8381135828692533E-2</v>
      </c>
      <c r="G16">
        <f t="shared" si="1"/>
        <v>0.29400429892743934</v>
      </c>
      <c r="J16" s="3" t="s">
        <v>58</v>
      </c>
    </row>
    <row r="17" spans="1:10" x14ac:dyDescent="0.3">
      <c r="A17" s="4">
        <v>16</v>
      </c>
      <c r="B17">
        <f t="shared" si="3"/>
        <v>15</v>
      </c>
      <c r="C17">
        <f t="shared" si="4"/>
        <v>12</v>
      </c>
      <c r="D17">
        <f t="shared" si="5"/>
        <v>67</v>
      </c>
      <c r="E17">
        <f t="shared" si="5"/>
        <v>125</v>
      </c>
      <c r="F17">
        <f t="shared" si="0"/>
        <v>2.8381135828692533E-2</v>
      </c>
      <c r="G17">
        <f t="shared" si="1"/>
        <v>0.29400429892743934</v>
      </c>
      <c r="J17" s="3" t="s">
        <v>58</v>
      </c>
    </row>
    <row r="18" spans="1:10" x14ac:dyDescent="0.3">
      <c r="A18" s="4">
        <v>17</v>
      </c>
      <c r="B18">
        <f t="shared" si="3"/>
        <v>16</v>
      </c>
      <c r="C18">
        <f t="shared" si="4"/>
        <v>15</v>
      </c>
      <c r="D18">
        <f t="shared" si="5"/>
        <v>92</v>
      </c>
      <c r="E18">
        <f t="shared" si="5"/>
        <v>65</v>
      </c>
      <c r="F18">
        <f t="shared" si="0"/>
        <v>3.4705101432211748E-2</v>
      </c>
      <c r="G18">
        <f t="shared" si="1"/>
        <v>0.15288223544226845</v>
      </c>
      <c r="J18" s="3" t="s">
        <v>58</v>
      </c>
    </row>
    <row r="19" spans="1:10" x14ac:dyDescent="0.3">
      <c r="A19" s="4">
        <v>18</v>
      </c>
      <c r="B19">
        <f t="shared" si="3"/>
        <v>17</v>
      </c>
      <c r="C19">
        <f t="shared" si="4"/>
        <v>15</v>
      </c>
      <c r="D19">
        <f t="shared" si="5"/>
        <v>37</v>
      </c>
      <c r="E19">
        <f t="shared" si="5"/>
        <v>100</v>
      </c>
      <c r="F19">
        <f t="shared" si="0"/>
        <v>3.0329450982592862E-2</v>
      </c>
      <c r="G19">
        <f t="shared" si="1"/>
        <v>0.23520343914195146</v>
      </c>
      <c r="J19" s="3" t="s">
        <v>58</v>
      </c>
    </row>
    <row r="20" spans="1:10" x14ac:dyDescent="0.3">
      <c r="A20">
        <v>19</v>
      </c>
      <c r="B20">
        <v>6</v>
      </c>
      <c r="C20">
        <f>B20+10</f>
        <v>16</v>
      </c>
      <c r="D20">
        <f>管径设计!C16</f>
        <v>173.61111111111111</v>
      </c>
      <c r="E20">
        <f>管径设计!D16</f>
        <v>65</v>
      </c>
      <c r="F20">
        <f t="shared" si="0"/>
        <v>3.4705101432211748E-2</v>
      </c>
      <c r="G20">
        <f t="shared" si="1"/>
        <v>0.15288223544226845</v>
      </c>
      <c r="J20" s="3" t="s">
        <v>57</v>
      </c>
    </row>
    <row r="21" spans="1:10" x14ac:dyDescent="0.3">
      <c r="A21">
        <v>20</v>
      </c>
      <c r="B21">
        <v>7</v>
      </c>
      <c r="C21">
        <f t="shared" ref="C21:C24" si="6">B21+10</f>
        <v>17</v>
      </c>
      <c r="D21">
        <f>管径设计!C17</f>
        <v>69.930069930069934</v>
      </c>
      <c r="E21">
        <f>管径设计!D17</f>
        <v>100</v>
      </c>
      <c r="F21">
        <f t="shared" si="0"/>
        <v>3.0329450982592862E-2</v>
      </c>
      <c r="G21">
        <f t="shared" si="1"/>
        <v>0.23520343914195146</v>
      </c>
      <c r="J21" s="3" t="s">
        <v>57</v>
      </c>
    </row>
    <row r="22" spans="1:10" x14ac:dyDescent="0.3">
      <c r="A22">
        <v>21</v>
      </c>
      <c r="B22">
        <v>8</v>
      </c>
      <c r="C22">
        <f t="shared" si="6"/>
        <v>18</v>
      </c>
      <c r="D22">
        <f>管径设计!C18</f>
        <v>252.20680958385879</v>
      </c>
      <c r="E22">
        <f>管径设计!D18</f>
        <v>100</v>
      </c>
      <c r="F22">
        <f t="shared" si="0"/>
        <v>3.0329450982592862E-2</v>
      </c>
      <c r="G22">
        <f t="shared" si="1"/>
        <v>0.23520343914195146</v>
      </c>
      <c r="J22" s="3" t="s">
        <v>57</v>
      </c>
    </row>
    <row r="23" spans="1:10" x14ac:dyDescent="0.3">
      <c r="A23">
        <v>22</v>
      </c>
      <c r="B23">
        <v>9</v>
      </c>
      <c r="C23">
        <f t="shared" si="6"/>
        <v>19</v>
      </c>
      <c r="D23">
        <f>管径设计!C19</f>
        <v>240.38461538461539</v>
      </c>
      <c r="E23">
        <f>管径设计!D19</f>
        <v>125</v>
      </c>
      <c r="F23">
        <f t="shared" si="0"/>
        <v>2.8381135828692533E-2</v>
      </c>
      <c r="G23">
        <f t="shared" si="1"/>
        <v>0.29400429892743934</v>
      </c>
      <c r="J23" s="3" t="s">
        <v>57</v>
      </c>
    </row>
    <row r="24" spans="1:10" x14ac:dyDescent="0.3">
      <c r="A24">
        <v>23</v>
      </c>
      <c r="B24">
        <v>10</v>
      </c>
      <c r="C24">
        <f t="shared" si="6"/>
        <v>20</v>
      </c>
      <c r="D24">
        <f>管径设计!C20</f>
        <v>254.12960609911053</v>
      </c>
      <c r="E24">
        <f>管径设计!D20</f>
        <v>125</v>
      </c>
      <c r="F24">
        <f t="shared" si="0"/>
        <v>2.8381135828692533E-2</v>
      </c>
      <c r="G24">
        <f t="shared" si="1"/>
        <v>0.29400429892743934</v>
      </c>
      <c r="J24" s="3" t="s">
        <v>57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G10" sqref="G10"/>
    </sheetView>
  </sheetViews>
  <sheetFormatPr defaultColWidth="9.23046875" defaultRowHeight="14.15" x14ac:dyDescent="0.3"/>
  <sheetData>
    <row r="1" spans="1:2" x14ac:dyDescent="0.3">
      <c r="A1" t="s">
        <v>19</v>
      </c>
      <c r="B1">
        <v>2</v>
      </c>
    </row>
    <row r="2" spans="1:2" x14ac:dyDescent="0.3">
      <c r="A2" t="s">
        <v>20</v>
      </c>
      <c r="B2">
        <v>2</v>
      </c>
    </row>
    <row r="3" spans="1:2" x14ac:dyDescent="0.3">
      <c r="A3" t="s">
        <v>21</v>
      </c>
      <c r="B3">
        <v>2</v>
      </c>
    </row>
    <row r="4" spans="1:2" x14ac:dyDescent="0.3">
      <c r="A4" t="s">
        <v>22</v>
      </c>
      <c r="B4">
        <v>2</v>
      </c>
    </row>
    <row r="5" spans="1:2" x14ac:dyDescent="0.3">
      <c r="A5" t="s">
        <v>23</v>
      </c>
      <c r="B5">
        <v>2</v>
      </c>
    </row>
  </sheetData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6"/>
  <sheetViews>
    <sheetView zoomScale="84" zoomScaleNormal="84" workbookViewId="0">
      <selection activeCell="F14" sqref="F14"/>
    </sheetView>
  </sheetViews>
  <sheetFormatPr defaultColWidth="9.23046875" defaultRowHeight="14.15" x14ac:dyDescent="0.3"/>
  <cols>
    <col min="8" max="8" width="14.765625" customWidth="1"/>
    <col min="9" max="9" width="19.69140625" customWidth="1"/>
    <col min="10" max="12" width="12.921875"/>
    <col min="15" max="15" width="15.765625" customWidth="1"/>
  </cols>
  <sheetData>
    <row r="1" spans="1:15" x14ac:dyDescent="0.3">
      <c r="A1" t="s">
        <v>0</v>
      </c>
      <c r="B1" t="s">
        <v>13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s="1" t="s">
        <v>29</v>
      </c>
      <c r="I1" t="s">
        <v>30</v>
      </c>
      <c r="J1" t="s">
        <v>31</v>
      </c>
      <c r="K1" t="s">
        <v>1</v>
      </c>
      <c r="L1" t="s">
        <v>32</v>
      </c>
      <c r="M1" s="3" t="s">
        <v>53</v>
      </c>
      <c r="N1" s="3" t="s">
        <v>54</v>
      </c>
      <c r="O1" s="3" t="s">
        <v>55</v>
      </c>
    </row>
    <row r="2" spans="1:15" x14ac:dyDescent="0.3">
      <c r="A2">
        <v>1</v>
      </c>
      <c r="B2" s="9">
        <v>29</v>
      </c>
      <c r="C2" s="10">
        <v>12</v>
      </c>
      <c r="D2">
        <v>3</v>
      </c>
      <c r="E2" s="6">
        <v>6</v>
      </c>
      <c r="F2">
        <f>B2*C2*E2</f>
        <v>2088</v>
      </c>
      <c r="G2">
        <v>10</v>
      </c>
      <c r="H2">
        <f>F2*50</f>
        <v>104400</v>
      </c>
      <c r="I2">
        <f t="shared" ref="I2:I6" si="0">H2/1000/10/4.2*3.6</f>
        <v>8.9485714285714284</v>
      </c>
      <c r="J2">
        <f>H2/(50-20)*1</f>
        <v>3480</v>
      </c>
      <c r="K2" t="s">
        <v>33</v>
      </c>
      <c r="L2">
        <f>SUM(I2:I6)</f>
        <v>140.55857142857144</v>
      </c>
      <c r="M2">
        <f ca="1">RANDBETWEEN(25,45)</f>
        <v>26</v>
      </c>
      <c r="N2">
        <f ca="1">RANDBETWEEN(10,30)</f>
        <v>26</v>
      </c>
      <c r="O2">
        <f t="shared" ref="O2:O3" ca="1" si="1">RANDBETWEEN(4,15)</f>
        <v>6</v>
      </c>
    </row>
    <row r="3" spans="1:15" x14ac:dyDescent="0.3">
      <c r="A3">
        <v>2</v>
      </c>
      <c r="B3" s="11">
        <v>43</v>
      </c>
      <c r="C3" s="12">
        <v>21</v>
      </c>
      <c r="D3">
        <v>3</v>
      </c>
      <c r="E3" s="7">
        <v>10</v>
      </c>
      <c r="F3">
        <f t="shared" ref="F3:F6" si="2">B3*C3*E3</f>
        <v>9030</v>
      </c>
      <c r="G3">
        <v>10</v>
      </c>
      <c r="H3">
        <f t="shared" ref="H3:H6" si="3">F3*50</f>
        <v>451500</v>
      </c>
      <c r="I3">
        <f t="shared" si="0"/>
        <v>38.700000000000003</v>
      </c>
      <c r="J3">
        <f t="shared" ref="J3:J6" si="4">H3/(50-20)*1</f>
        <v>15050</v>
      </c>
      <c r="K3" t="s">
        <v>33</v>
      </c>
      <c r="M3">
        <f t="shared" ref="M3:M6" ca="1" si="5">RANDBETWEEN(25,50)</f>
        <v>35</v>
      </c>
      <c r="N3">
        <f t="shared" ref="N3:N6" ca="1" si="6">RANDBETWEEN(10,30)</f>
        <v>24</v>
      </c>
      <c r="O3">
        <f t="shared" ca="1" si="1"/>
        <v>6</v>
      </c>
    </row>
    <row r="4" spans="1:15" x14ac:dyDescent="0.3">
      <c r="A4">
        <v>3</v>
      </c>
      <c r="B4" s="11">
        <v>46</v>
      </c>
      <c r="C4" s="12">
        <v>21</v>
      </c>
      <c r="D4">
        <v>3</v>
      </c>
      <c r="E4" s="7">
        <v>5</v>
      </c>
      <c r="F4">
        <f t="shared" si="2"/>
        <v>4830</v>
      </c>
      <c r="G4">
        <v>10</v>
      </c>
      <c r="H4">
        <f t="shared" si="3"/>
        <v>241500</v>
      </c>
      <c r="I4">
        <f t="shared" si="0"/>
        <v>20.699999999999996</v>
      </c>
      <c r="J4">
        <f t="shared" si="4"/>
        <v>8050</v>
      </c>
      <c r="K4" t="s">
        <v>33</v>
      </c>
      <c r="M4">
        <f t="shared" ca="1" si="5"/>
        <v>44</v>
      </c>
      <c r="N4">
        <f t="shared" ca="1" si="6"/>
        <v>29</v>
      </c>
      <c r="O4">
        <f ca="1">RANDBETWEEN(4,15)</f>
        <v>14</v>
      </c>
    </row>
    <row r="5" spans="1:15" x14ac:dyDescent="0.3">
      <c r="A5">
        <v>4</v>
      </c>
      <c r="B5" s="11">
        <v>50</v>
      </c>
      <c r="C5" s="12">
        <v>17</v>
      </c>
      <c r="D5">
        <v>3</v>
      </c>
      <c r="E5" s="7">
        <v>10</v>
      </c>
      <c r="F5">
        <f t="shared" si="2"/>
        <v>8500</v>
      </c>
      <c r="G5">
        <v>10</v>
      </c>
      <c r="H5">
        <f t="shared" si="3"/>
        <v>425000</v>
      </c>
      <c r="I5">
        <f t="shared" si="0"/>
        <v>36.428571428571431</v>
      </c>
      <c r="J5">
        <f t="shared" si="4"/>
        <v>14166.666666666666</v>
      </c>
      <c r="K5" t="s">
        <v>33</v>
      </c>
      <c r="M5">
        <f t="shared" ca="1" si="5"/>
        <v>27</v>
      </c>
      <c r="N5">
        <f t="shared" ca="1" si="6"/>
        <v>14</v>
      </c>
      <c r="O5">
        <f ca="1">RANDBETWEEN(4,15)</f>
        <v>7</v>
      </c>
    </row>
    <row r="6" spans="1:15" x14ac:dyDescent="0.3">
      <c r="A6">
        <v>5</v>
      </c>
      <c r="B6" s="13">
        <v>33</v>
      </c>
      <c r="C6" s="14">
        <v>23</v>
      </c>
      <c r="D6">
        <v>3</v>
      </c>
      <c r="E6" s="8">
        <v>11</v>
      </c>
      <c r="F6">
        <f t="shared" si="2"/>
        <v>8349</v>
      </c>
      <c r="G6">
        <v>10</v>
      </c>
      <c r="H6">
        <f t="shared" si="3"/>
        <v>417450</v>
      </c>
      <c r="I6">
        <f t="shared" si="0"/>
        <v>35.78142857142857</v>
      </c>
      <c r="J6">
        <f t="shared" si="4"/>
        <v>13915</v>
      </c>
      <c r="K6" t="s">
        <v>33</v>
      </c>
      <c r="M6">
        <f t="shared" ca="1" si="5"/>
        <v>41</v>
      </c>
      <c r="N6">
        <f t="shared" ca="1" si="6"/>
        <v>11</v>
      </c>
      <c r="O6">
        <f t="shared" ref="O6" ca="1" si="7">RANDBETWEEN(4,15)</f>
        <v>10</v>
      </c>
    </row>
  </sheetData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0"/>
  <sheetViews>
    <sheetView tabSelected="1" zoomScale="85" zoomScaleNormal="85" workbookViewId="0">
      <selection activeCell="E15" sqref="E15"/>
    </sheetView>
  </sheetViews>
  <sheetFormatPr defaultColWidth="9.23046875" defaultRowHeight="14.15" x14ac:dyDescent="0.3"/>
  <cols>
    <col min="2" max="2" width="15" customWidth="1"/>
    <col min="3" max="3" width="13.61328125" customWidth="1"/>
    <col min="4" max="4" width="14.15234375" customWidth="1"/>
    <col min="7" max="7" width="22.53515625" customWidth="1"/>
    <col min="8" max="8" width="15.4609375" customWidth="1"/>
    <col min="9" max="9" width="12.765625" customWidth="1"/>
    <col min="10" max="10" width="17.3828125" customWidth="1"/>
    <col min="11" max="11" width="37.3046875" customWidth="1"/>
    <col min="12" max="12" width="17.3828125" customWidth="1"/>
    <col min="13" max="13" width="15.765625" customWidth="1"/>
  </cols>
  <sheetData>
    <row r="1" spans="1:14" ht="16.75" x14ac:dyDescent="0.3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</row>
    <row r="2" spans="1:14" x14ac:dyDescent="0.3">
      <c r="A2" t="s">
        <v>48</v>
      </c>
      <c r="L2">
        <v>1000</v>
      </c>
      <c r="M2">
        <f>1*10^-3</f>
        <v>1E-3</v>
      </c>
      <c r="N2">
        <f>SUM(G3:G6)</f>
        <v>21610</v>
      </c>
    </row>
    <row r="3" spans="1:14" x14ac:dyDescent="0.3">
      <c r="A3" s="15" t="s">
        <v>64</v>
      </c>
      <c r="B3">
        <f>Building!L2</f>
        <v>140.55857142857144</v>
      </c>
      <c r="C3">
        <f>Branch!D2</f>
        <v>30</v>
      </c>
      <c r="D3" s="18">
        <v>200</v>
      </c>
      <c r="E3" s="19">
        <v>1.21</v>
      </c>
      <c r="F3" s="20">
        <v>80.900000000000006</v>
      </c>
      <c r="G3">
        <f t="shared" ref="G3:G6" si="0">C3*F3</f>
        <v>2427</v>
      </c>
      <c r="J3">
        <f>L$2*E3*D3/1000/M$2</f>
        <v>242000</v>
      </c>
      <c r="K3">
        <f>1/(1.14+2*LOG10((D3/0.5)))^2</f>
        <v>2.4846042519733526E-2</v>
      </c>
    </row>
    <row r="4" spans="1:14" x14ac:dyDescent="0.3">
      <c r="A4" t="s">
        <v>49</v>
      </c>
      <c r="B4">
        <f>B3-B12</f>
        <v>92.910000000000011</v>
      </c>
      <c r="C4">
        <f>Branch!D3</f>
        <v>45</v>
      </c>
      <c r="D4" s="21">
        <v>200</v>
      </c>
      <c r="E4" s="17">
        <v>0.78</v>
      </c>
      <c r="F4" s="22">
        <v>34.299999999999997</v>
      </c>
      <c r="G4">
        <f t="shared" si="0"/>
        <v>1543.4999999999998</v>
      </c>
      <c r="J4">
        <f>L$2*E4*D4/1000/M$2</f>
        <v>156000</v>
      </c>
      <c r="K4">
        <f>1/(1.14+2*LOG10((D4/0.5)))^2</f>
        <v>2.4846042519733526E-2</v>
      </c>
    </row>
    <row r="5" spans="1:14" x14ac:dyDescent="0.3">
      <c r="A5" t="s">
        <v>50</v>
      </c>
      <c r="B5">
        <f>B4-B10</f>
        <v>72.210000000000008</v>
      </c>
      <c r="C5">
        <f>Branch!D4</f>
        <v>82</v>
      </c>
      <c r="D5" s="21">
        <v>150</v>
      </c>
      <c r="E5" s="26">
        <v>1.18</v>
      </c>
      <c r="F5" s="22">
        <v>120.1</v>
      </c>
      <c r="G5">
        <f t="shared" si="0"/>
        <v>9848.1999999999989</v>
      </c>
      <c r="J5">
        <f>L$2*E5*D5/1000/M$2</f>
        <v>177000</v>
      </c>
      <c r="K5">
        <f>1/(1.14+2*LOG10((D5/0.5)))^2</f>
        <v>2.6925299052784474E-2</v>
      </c>
    </row>
    <row r="6" spans="1:14" x14ac:dyDescent="0.3">
      <c r="A6" s="3" t="s">
        <v>65</v>
      </c>
      <c r="B6">
        <f>Building!I6</f>
        <v>35.78142857142857</v>
      </c>
      <c r="C6">
        <f>Branch!D5</f>
        <v>99</v>
      </c>
      <c r="D6" s="21">
        <v>125</v>
      </c>
      <c r="E6" s="17">
        <v>0.85</v>
      </c>
      <c r="F6" s="22">
        <v>78.7</v>
      </c>
      <c r="G6">
        <f t="shared" si="0"/>
        <v>7791.3</v>
      </c>
      <c r="J6">
        <f>L$2*E6*D6/1000/M$2</f>
        <v>106250</v>
      </c>
      <c r="K6">
        <f>1/(1.14+2*LOG10((D6/0.5)))^2</f>
        <v>2.8381135828692533E-2</v>
      </c>
      <c r="L6">
        <f>B5-B11</f>
        <v>35.781428571428577</v>
      </c>
    </row>
    <row r="7" spans="1:14" x14ac:dyDescent="0.3">
      <c r="D7" s="21"/>
      <c r="E7" s="17"/>
      <c r="F7" s="22"/>
    </row>
    <row r="8" spans="1:14" x14ac:dyDescent="0.3">
      <c r="A8" t="s">
        <v>51</v>
      </c>
      <c r="D8" s="21"/>
      <c r="E8" s="17"/>
      <c r="F8" s="22"/>
    </row>
    <row r="9" spans="1:14" x14ac:dyDescent="0.3">
      <c r="D9" s="21"/>
      <c r="E9" s="17"/>
      <c r="F9" s="22"/>
    </row>
    <row r="10" spans="1:14" x14ac:dyDescent="0.3">
      <c r="A10" s="3" t="s">
        <v>66</v>
      </c>
      <c r="B10">
        <f>Building!I4</f>
        <v>20.699999999999996</v>
      </c>
      <c r="C10">
        <f>Branch!D6</f>
        <v>62</v>
      </c>
      <c r="D10" s="21">
        <v>100</v>
      </c>
      <c r="E10" s="17">
        <v>0.74</v>
      </c>
      <c r="F10" s="22">
        <v>79.3</v>
      </c>
      <c r="G10">
        <f t="shared" ref="G10:G12" si="1">C10*F10</f>
        <v>4916.5999999999995</v>
      </c>
      <c r="H10">
        <f>N$2-G3-G4</f>
        <v>17639.5</v>
      </c>
      <c r="I10">
        <f>H10/C10</f>
        <v>284.50806451612902</v>
      </c>
      <c r="J10">
        <f>L$2*E10*D10/1000/M$2</f>
        <v>74000</v>
      </c>
      <c r="K10">
        <f t="shared" ref="K10:K14" si="2">1/(1.14+2*LOG10((D10/0.5)))^2</f>
        <v>3.0329450982592862E-2</v>
      </c>
    </row>
    <row r="11" spans="1:14" x14ac:dyDescent="0.3">
      <c r="A11" s="3" t="s">
        <v>67</v>
      </c>
      <c r="B11">
        <f>Building!I5</f>
        <v>36.428571428571431</v>
      </c>
      <c r="C11">
        <f>Branch!D7</f>
        <v>84</v>
      </c>
      <c r="D11" s="21">
        <v>125</v>
      </c>
      <c r="E11" s="17">
        <v>0.87</v>
      </c>
      <c r="F11" s="22">
        <v>83.2</v>
      </c>
      <c r="G11">
        <f t="shared" si="1"/>
        <v>6988.8</v>
      </c>
      <c r="H11">
        <f>H10-G5</f>
        <v>7791.3000000000011</v>
      </c>
      <c r="I11">
        <f t="shared" ref="I11:I13" si="3">H11/C11</f>
        <v>92.753571428571448</v>
      </c>
      <c r="J11">
        <f>L$2*E11*D11/1000/M$2</f>
        <v>108750</v>
      </c>
      <c r="K11">
        <f t="shared" si="2"/>
        <v>2.8381135828692533E-2</v>
      </c>
    </row>
    <row r="12" spans="1:14" x14ac:dyDescent="0.3">
      <c r="A12" s="3" t="s">
        <v>68</v>
      </c>
      <c r="B12">
        <f>B13+B14</f>
        <v>47.648571428571429</v>
      </c>
      <c r="C12">
        <f>Branch!D8</f>
        <v>67</v>
      </c>
      <c r="D12" s="21">
        <v>125</v>
      </c>
      <c r="E12" s="17">
        <v>1.1299999999999999</v>
      </c>
      <c r="F12" s="22">
        <v>140</v>
      </c>
      <c r="G12">
        <f t="shared" si="1"/>
        <v>9380</v>
      </c>
      <c r="H12" s="16">
        <f>N2-G3</f>
        <v>19183</v>
      </c>
      <c r="I12">
        <f t="shared" si="3"/>
        <v>286.31343283582089</v>
      </c>
      <c r="J12">
        <f>L$2*E12*D12/1000/M$2</f>
        <v>141250</v>
      </c>
      <c r="K12">
        <f t="shared" si="2"/>
        <v>2.8381135828692533E-2</v>
      </c>
    </row>
    <row r="13" spans="1:14" x14ac:dyDescent="0.3">
      <c r="A13" s="3" t="s">
        <v>69</v>
      </c>
      <c r="B13">
        <f>Building!I2</f>
        <v>8.9485714285714284</v>
      </c>
      <c r="C13">
        <f>Branch!D9</f>
        <v>92</v>
      </c>
      <c r="D13" s="21">
        <v>65</v>
      </c>
      <c r="E13" s="17">
        <v>0.7</v>
      </c>
      <c r="F13" s="22">
        <v>115.2</v>
      </c>
      <c r="G13">
        <f>C13*F13</f>
        <v>10598.4</v>
      </c>
      <c r="I13">
        <f t="shared" si="3"/>
        <v>0</v>
      </c>
      <c r="J13">
        <f t="shared" ref="J13:J14" si="4">L$2*E13*D13/1000/M$2</f>
        <v>45500</v>
      </c>
      <c r="K13">
        <f t="shared" si="2"/>
        <v>3.4705101432211748E-2</v>
      </c>
    </row>
    <row r="14" spans="1:14" x14ac:dyDescent="0.3">
      <c r="A14" s="3" t="s">
        <v>70</v>
      </c>
      <c r="B14">
        <f>Building!I3</f>
        <v>38.700000000000003</v>
      </c>
      <c r="C14">
        <f>Branch!D10</f>
        <v>37</v>
      </c>
      <c r="D14" s="23">
        <v>100</v>
      </c>
      <c r="E14" s="24">
        <v>1.4</v>
      </c>
      <c r="F14" s="25">
        <v>286</v>
      </c>
      <c r="G14">
        <f>C14*F14</f>
        <v>10582</v>
      </c>
      <c r="H14">
        <f>H12-G13</f>
        <v>8584.6</v>
      </c>
      <c r="I14">
        <f>H14/C14</f>
        <v>232.01621621621624</v>
      </c>
      <c r="J14">
        <f t="shared" si="4"/>
        <v>140000</v>
      </c>
      <c r="K14">
        <f t="shared" si="2"/>
        <v>3.0329450982592862E-2</v>
      </c>
    </row>
    <row r="16" spans="1:14" x14ac:dyDescent="0.3">
      <c r="A16" s="5" t="s">
        <v>59</v>
      </c>
      <c r="B16">
        <f>B13</f>
        <v>8.9485714285714284</v>
      </c>
      <c r="C16">
        <f>H16/F16</f>
        <v>173.61111111111111</v>
      </c>
      <c r="D16">
        <f t="shared" ref="D16:F17" si="5">D13</f>
        <v>65</v>
      </c>
      <c r="E16">
        <f t="shared" si="5"/>
        <v>0.7</v>
      </c>
      <c r="F16">
        <f t="shared" si="5"/>
        <v>115.2</v>
      </c>
      <c r="G16">
        <f>C16*F16</f>
        <v>20000</v>
      </c>
      <c r="H16">
        <v>20000</v>
      </c>
      <c r="I16">
        <v>100</v>
      </c>
      <c r="J16">
        <f>L$2*E16*D16/1000/M$2</f>
        <v>45500</v>
      </c>
      <c r="K16">
        <f>1/(1.14+2*LOG10((D16/0.5)))^2</f>
        <v>3.4705101432211748E-2</v>
      </c>
    </row>
    <row r="17" spans="1:11" x14ac:dyDescent="0.3">
      <c r="A17" s="5" t="s">
        <v>60</v>
      </c>
      <c r="B17">
        <f>B14</f>
        <v>38.700000000000003</v>
      </c>
      <c r="C17">
        <f t="shared" ref="C17:C20" si="6">H17/F17</f>
        <v>69.930069930069934</v>
      </c>
      <c r="D17">
        <f t="shared" si="5"/>
        <v>100</v>
      </c>
      <c r="E17">
        <f t="shared" si="5"/>
        <v>1.4</v>
      </c>
      <c r="F17">
        <f t="shared" si="5"/>
        <v>286</v>
      </c>
      <c r="G17">
        <f>C17*F17</f>
        <v>20000</v>
      </c>
      <c r="H17">
        <v>20000</v>
      </c>
      <c r="I17">
        <v>100</v>
      </c>
      <c r="J17">
        <f>L$2*E17*D17/1000/M$2</f>
        <v>140000</v>
      </c>
      <c r="K17">
        <f t="shared" ref="K17:K20" si="7">1/(1.14+2*LOG10((D17/0.5)))^2</f>
        <v>3.0329450982592862E-2</v>
      </c>
    </row>
    <row r="18" spans="1:11" x14ac:dyDescent="0.3">
      <c r="A18" s="5" t="s">
        <v>61</v>
      </c>
      <c r="B18">
        <f>B10</f>
        <v>20.699999999999996</v>
      </c>
      <c r="C18">
        <f t="shared" si="6"/>
        <v>252.20680958385879</v>
      </c>
      <c r="D18">
        <f t="shared" ref="D18:F19" si="8">D10</f>
        <v>100</v>
      </c>
      <c r="E18">
        <f t="shared" si="8"/>
        <v>0.74</v>
      </c>
      <c r="F18">
        <f t="shared" si="8"/>
        <v>79.3</v>
      </c>
      <c r="G18">
        <f t="shared" ref="G18:G19" si="9">C18*F18</f>
        <v>20000</v>
      </c>
      <c r="H18">
        <v>20000</v>
      </c>
      <c r="I18">
        <v>100</v>
      </c>
      <c r="J18">
        <f>L$2*E18*D18/1000/M$2</f>
        <v>74000</v>
      </c>
      <c r="K18">
        <f t="shared" si="7"/>
        <v>3.0329450982592862E-2</v>
      </c>
    </row>
    <row r="19" spans="1:11" x14ac:dyDescent="0.3">
      <c r="A19" s="5" t="s">
        <v>62</v>
      </c>
      <c r="B19">
        <f>B11</f>
        <v>36.428571428571431</v>
      </c>
      <c r="C19">
        <f t="shared" si="6"/>
        <v>240.38461538461539</v>
      </c>
      <c r="D19">
        <f t="shared" si="8"/>
        <v>125</v>
      </c>
      <c r="E19">
        <f t="shared" si="8"/>
        <v>0.87</v>
      </c>
      <c r="F19">
        <f t="shared" si="8"/>
        <v>83.2</v>
      </c>
      <c r="G19">
        <f t="shared" si="9"/>
        <v>20000</v>
      </c>
      <c r="H19">
        <v>20000</v>
      </c>
      <c r="I19">
        <v>100</v>
      </c>
      <c r="J19">
        <f>L$2*E19*D19/1000/M$2</f>
        <v>108750</v>
      </c>
      <c r="K19">
        <f t="shared" si="7"/>
        <v>2.8381135828692533E-2</v>
      </c>
    </row>
    <row r="20" spans="1:11" x14ac:dyDescent="0.3">
      <c r="A20" s="5" t="s">
        <v>63</v>
      </c>
      <c r="B20">
        <f>B6</f>
        <v>35.78142857142857</v>
      </c>
      <c r="C20">
        <f t="shared" si="6"/>
        <v>254.12960609911053</v>
      </c>
      <c r="D20">
        <f>D6</f>
        <v>125</v>
      </c>
      <c r="E20">
        <f>E6</f>
        <v>0.85</v>
      </c>
      <c r="F20">
        <f t="shared" ref="F20" si="10">F6</f>
        <v>78.7</v>
      </c>
      <c r="G20">
        <v>20000</v>
      </c>
      <c r="H20">
        <v>20000</v>
      </c>
      <c r="I20">
        <v>100</v>
      </c>
      <c r="J20">
        <f>L$2*E20*D20/1000/M$2</f>
        <v>106250</v>
      </c>
      <c r="K20">
        <f t="shared" si="7"/>
        <v>2.8381135828692533E-2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Node</vt:lpstr>
      <vt:lpstr>Branch</vt:lpstr>
      <vt:lpstr>Device</vt:lpstr>
      <vt:lpstr>Building</vt:lpstr>
      <vt:lpstr>管径设计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cymm</dc:creator>
  <cp:lastModifiedBy>凯远 陈</cp:lastModifiedBy>
  <dcterms:created xsi:type="dcterms:W3CDTF">2026-01-06T01:30:00Z</dcterms:created>
  <dcterms:modified xsi:type="dcterms:W3CDTF">2026-01-15T07:43:03Z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A78C026E5FAFF51845145B6949399A28_41</vt:lpwstr>
  </property>
  <property fmtid="{D5CDD505-2E9C-101B-9397-08002B2CF9AE}" pid="3" name="KSOProductBuildVer">
    <vt:lpwstr>2052-12.1.23540.23540</vt:lpwstr>
  </property>
</Properties>
</file>