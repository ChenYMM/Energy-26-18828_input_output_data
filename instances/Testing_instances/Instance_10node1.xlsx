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<sst xmlns="http://schemas.openxmlformats.org/spreadsheetml/2006/main" count="223" uniqueCount="86">
  <si>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</si>
  <si>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</si>
  <si>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</si>
  <si>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</si>
  <si>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</si>
  <si>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</si>
  <si>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</si>
  <si>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</si>
  <si>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</si>
  <si>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</si>
  <si>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</si>
  <si>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</si>
  <si>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</si>
  <si>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</si>
  <si>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</si>
  <si>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</si>
  <si>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</si>
  <si>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</si>
  <si>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</si>
  <si>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</si>
  <si>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</si>
  <si>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</si>
  <si>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</si>
  <si>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</si>
  <si>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</si>
  <si>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</si>
  <si>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</si>
  <si>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</si>
  <si>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</si>
  <si>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</si>
  <si>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</si>
  <si>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</si>
  <si>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</si>
  <si>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</si>
  <si>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</si>
  <si>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</si>
  <si>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</si>
  <si>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</si>
  <si>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</si>
  <si>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</si>
  <si>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</si>
  <si>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</si>
  <si>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</si>
  <si>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</si>
  <si>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</si>
  <si>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</si>
  <si>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</si>
  <si>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</si>
  <si>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</si>
  <si>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</si>
  <si>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</si>
  <si>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</si>
  <si>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</si>
  <si>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</si>
  <si>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</si>
  <si>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</si>
  <si>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</si>
  <si>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</si>
  <si>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</si>
  <si>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</si>
  <si>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</si>
  <si>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</si>
  <si>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</si>
  <si>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</si>
  <si>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</si>
  <si>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10,20</t>
  </si>
  <si>
    <t>支路</t>
  </si>
  <si>
    <t>2,11</t>
  </si>
  <si>
    <t>3,12</t>
  </si>
  <si>
    <t>4,13</t>
  </si>
  <si>
    <t>5,14</t>
  </si>
  <si>
    <t>6,15</t>
  </si>
  <si>
    <t>7,16</t>
  </si>
  <si>
    <t>8,17</t>
  </si>
  <si>
    <t>9,18</t>
  </si>
  <si>
    <t>10,19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</si>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</sst>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58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4230769230769" customWidth="1"/>
    <col min="11" max="11" width="37.3076923076923" customWidth="1"/>
  </cols>
  <sheetData>
    <row r="1" spans="1:7">
      <c r="A1" s="7" t="s">
        <v>0</v>
      </c>
      <c r="B1" s="7" t="s">
        <v>1</v>
      </c>
      <c r="C1" s="11" t="s">
        <v>2</v>
      </c>
      <c r="D1" s="7" t="s">
        <v>3</v>
      </c>
      <c r="E1" s="7" t="s">
        <v>4</v>
      </c>
      <c r="F1" s="11" t="s">
        <v>5</v>
      </c>
      <c r="G1" s="7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zoomScale="72" zoomScaleNormal="72" topLeftCell="A17" workbookViewId="0">
      <selection activeCell="D49" sqref="D49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6">
      <c r="A1" s="1" t="s">
        <v>0</v>
      </c>
      <c r="B1" s="1" t="s">
        <v>12</v>
      </c>
      <c r="C1" s="1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5</v>
      </c>
    </row>
    <row r="2" spans="1:16">
      <c r="A2" s="8">
        <v>1</v>
      </c>
      <c r="B2">
        <v>1</v>
      </c>
      <c r="C2">
        <v>2</v>
      </c>
      <c r="D2">
        <v>100</v>
      </c>
      <c r="E2" s="1">
        <v>250</v>
      </c>
      <c r="F2" s="1">
        <f>1/(1.14+2*LOG10((E2/0.5)))^2</f>
        <v>0.0233947353976847</v>
      </c>
      <c r="G2" s="1">
        <f>3.14*E2/1000/(0.03/0.023+0.01/0.5+1/1500+1/100)</f>
        <v>0.588008597854879</v>
      </c>
      <c r="J2" t="s">
        <v>8</v>
      </c>
    </row>
    <row r="3" spans="1:16">
      <c r="A3" s="8">
        <v>2</v>
      </c>
      <c r="B3">
        <v>2</v>
      </c>
      <c r="C3">
        <v>3</v>
      </c>
      <c r="D3">
        <v>60</v>
      </c>
      <c r="E3" s="1">
        <v>250</v>
      </c>
      <c r="F3" s="1">
        <f t="shared" ref="F3:F39" si="0">1/(1.14+2*LOG10((E3/0.5)))^2</f>
        <v>0.0233947353976847</v>
      </c>
      <c r="G3" s="1">
        <f t="shared" ref="G3:G39" si="1">3.14*E3/1000/(0.03/0.023+0.01/0.5+1/1500+1/100)</f>
        <v>0.588008597854879</v>
      </c>
      <c r="J3" t="s">
        <v>8</v>
      </c>
    </row>
    <row r="4" spans="1:16">
      <c r="A4" s="8">
        <v>3</v>
      </c>
      <c r="B4">
        <v>2</v>
      </c>
      <c r="C4">
        <v>11</v>
      </c>
      <c r="D4">
        <v>40</v>
      </c>
      <c r="E4">
        <v>100</v>
      </c>
      <c r="F4" s="1">
        <f t="shared" si="0"/>
        <v>0.0303294509825929</v>
      </c>
      <c r="G4" s="1">
        <f t="shared" si="1"/>
        <v>0.235203439141951</v>
      </c>
      <c r="H4">
        <v>1</v>
      </c>
      <c r="J4" t="s">
        <v>8</v>
      </c>
    </row>
    <row r="5" spans="1:16">
      <c r="A5" s="8">
        <v>4</v>
      </c>
      <c r="B5">
        <v>3</v>
      </c>
      <c r="C5">
        <v>4</v>
      </c>
      <c r="D5">
        <v>60</v>
      </c>
      <c r="E5" s="1">
        <v>250</v>
      </c>
      <c r="F5" s="1">
        <f t="shared" si="0"/>
        <v>0.0233947353976847</v>
      </c>
      <c r="G5" s="1">
        <f t="shared" si="1"/>
        <v>0.588008597854879</v>
      </c>
      <c r="J5" t="s">
        <v>8</v>
      </c>
    </row>
    <row r="6" spans="1:16">
      <c r="A6" s="8">
        <v>5</v>
      </c>
      <c r="B6">
        <v>3</v>
      </c>
      <c r="C6">
        <v>12</v>
      </c>
      <c r="D6">
        <v>40</v>
      </c>
      <c r="E6">
        <v>80</v>
      </c>
      <c r="F6" s="1">
        <f t="shared" si="0"/>
        <v>0.032485497883736</v>
      </c>
      <c r="G6" s="1">
        <f t="shared" si="1"/>
        <v>0.188162751313561</v>
      </c>
      <c r="H6">
        <v>2</v>
      </c>
      <c r="J6" t="s">
        <v>8</v>
      </c>
    </row>
    <row r="7" spans="1:16">
      <c r="A7" s="8">
        <v>6</v>
      </c>
      <c r="B7">
        <v>4</v>
      </c>
      <c r="C7">
        <v>5</v>
      </c>
      <c r="D7">
        <v>60</v>
      </c>
      <c r="E7" s="1">
        <v>250</v>
      </c>
      <c r="F7" s="1">
        <f t="shared" si="0"/>
        <v>0.0233947353976847</v>
      </c>
      <c r="G7" s="1">
        <f t="shared" si="1"/>
        <v>0.588008597854879</v>
      </c>
      <c r="J7" t="s">
        <v>8</v>
      </c>
    </row>
    <row r="8" spans="1:16">
      <c r="A8" s="8">
        <v>7</v>
      </c>
      <c r="B8">
        <v>4</v>
      </c>
      <c r="C8">
        <v>13</v>
      </c>
      <c r="D8">
        <v>40</v>
      </c>
      <c r="E8">
        <v>80</v>
      </c>
      <c r="F8" s="1">
        <f t="shared" si="0"/>
        <v>0.032485497883736</v>
      </c>
      <c r="G8" s="1">
        <f t="shared" si="1"/>
        <v>0.188162751313561</v>
      </c>
      <c r="H8">
        <v>3</v>
      </c>
      <c r="J8" t="s">
        <v>8</v>
      </c>
    </row>
    <row r="9" spans="1:16">
      <c r="A9" s="8">
        <v>8</v>
      </c>
      <c r="B9">
        <v>5</v>
      </c>
      <c r="C9">
        <v>6</v>
      </c>
      <c r="D9">
        <v>60</v>
      </c>
      <c r="E9">
        <v>200</v>
      </c>
      <c r="F9" s="1">
        <f t="shared" si="0"/>
        <v>0.0248460425197335</v>
      </c>
      <c r="G9" s="1">
        <f t="shared" si="1"/>
        <v>0.470406878283903</v>
      </c>
      <c r="J9" t="s">
        <v>8</v>
      </c>
    </row>
    <row r="10" spans="1:16">
      <c r="A10" s="8">
        <v>9</v>
      </c>
      <c r="B10">
        <v>5</v>
      </c>
      <c r="C10">
        <v>14</v>
      </c>
      <c r="D10">
        <v>40</v>
      </c>
      <c r="E10">
        <v>100</v>
      </c>
      <c r="F10" s="1">
        <f t="shared" si="0"/>
        <v>0.0303294509825929</v>
      </c>
      <c r="G10" s="1">
        <f t="shared" si="1"/>
        <v>0.235203439141951</v>
      </c>
      <c r="H10">
        <v>4</v>
      </c>
      <c r="J10" t="s">
        <v>8</v>
      </c>
      <c r="M10" s="1"/>
      <c r="N10" s="1"/>
      <c r="O10" s="1"/>
      <c r="P10" s="1"/>
    </row>
    <row r="11" spans="1:16">
      <c r="A11" s="8">
        <v>10</v>
      </c>
      <c r="B11">
        <v>6</v>
      </c>
      <c r="C11">
        <v>7</v>
      </c>
      <c r="D11">
        <v>60</v>
      </c>
      <c r="E11">
        <v>200</v>
      </c>
      <c r="F11" s="1">
        <f t="shared" si="0"/>
        <v>0.0248460425197335</v>
      </c>
      <c r="G11" s="1">
        <f t="shared" si="1"/>
        <v>0.470406878283903</v>
      </c>
      <c r="J11" t="s">
        <v>8</v>
      </c>
      <c r="M11" s="1"/>
      <c r="N11" s="1"/>
      <c r="O11" s="1"/>
      <c r="P11" s="1"/>
    </row>
    <row r="12" spans="1:16">
      <c r="A12" s="8">
        <v>11</v>
      </c>
      <c r="B12">
        <v>6</v>
      </c>
      <c r="C12">
        <v>15</v>
      </c>
      <c r="D12">
        <v>60</v>
      </c>
      <c r="E12">
        <v>100</v>
      </c>
      <c r="F12" s="1">
        <f t="shared" si="0"/>
        <v>0.0303294509825929</v>
      </c>
      <c r="G12" s="1">
        <f t="shared" si="1"/>
        <v>0.235203439141951</v>
      </c>
      <c r="H12">
        <v>5</v>
      </c>
      <c r="J12" t="s">
        <v>8</v>
      </c>
      <c r="M12" s="1"/>
      <c r="N12" s="1"/>
      <c r="O12" s="1"/>
      <c r="P12" s="1"/>
    </row>
    <row r="13" spans="1:16">
      <c r="A13" s="8">
        <v>12</v>
      </c>
      <c r="B13">
        <v>7</v>
      </c>
      <c r="C13">
        <v>8</v>
      </c>
      <c r="D13">
        <v>60</v>
      </c>
      <c r="E13">
        <v>200</v>
      </c>
      <c r="F13" s="1">
        <f t="shared" si="0"/>
        <v>0.0248460425197335</v>
      </c>
      <c r="G13" s="1">
        <f t="shared" si="1"/>
        <v>0.470406878283903</v>
      </c>
      <c r="J13" t="s">
        <v>8</v>
      </c>
      <c r="M13" s="1"/>
      <c r="N13" s="1"/>
      <c r="O13" s="1"/>
      <c r="P13" s="1"/>
    </row>
    <row r="14" spans="1:16">
      <c r="A14" s="8">
        <v>13</v>
      </c>
      <c r="B14">
        <v>7</v>
      </c>
      <c r="C14">
        <v>16</v>
      </c>
      <c r="D14">
        <v>60</v>
      </c>
      <c r="E14">
        <v>65</v>
      </c>
      <c r="F14" s="1">
        <f t="shared" si="0"/>
        <v>0.0347051014322117</v>
      </c>
      <c r="G14" s="1">
        <f t="shared" si="1"/>
        <v>0.152882235442268</v>
      </c>
      <c r="H14">
        <v>6</v>
      </c>
      <c r="J14" t="s">
        <v>8</v>
      </c>
      <c r="M14" s="1"/>
      <c r="O14" s="1"/>
      <c r="P14" s="1"/>
    </row>
    <row r="15" spans="1:16">
      <c r="A15" s="8">
        <v>14</v>
      </c>
      <c r="B15">
        <v>8</v>
      </c>
      <c r="C15">
        <v>9</v>
      </c>
      <c r="D15">
        <v>60</v>
      </c>
      <c r="E15">
        <v>200</v>
      </c>
      <c r="F15" s="1">
        <f t="shared" si="0"/>
        <v>0.0248460425197335</v>
      </c>
      <c r="G15" s="1">
        <f t="shared" si="1"/>
        <v>0.470406878283903</v>
      </c>
      <c r="J15" t="s">
        <v>8</v>
      </c>
      <c r="M15" s="1"/>
      <c r="O15" s="1"/>
      <c r="P15" s="1"/>
    </row>
    <row r="16" spans="1:16">
      <c r="A16" s="8">
        <v>15</v>
      </c>
      <c r="B16">
        <v>8</v>
      </c>
      <c r="C16">
        <v>17</v>
      </c>
      <c r="D16">
        <v>60</v>
      </c>
      <c r="E16">
        <v>80</v>
      </c>
      <c r="F16" s="1">
        <f t="shared" si="0"/>
        <v>0.032485497883736</v>
      </c>
      <c r="G16" s="1">
        <f t="shared" si="1"/>
        <v>0.188162751313561</v>
      </c>
      <c r="H16">
        <v>7</v>
      </c>
      <c r="J16" t="s">
        <v>8</v>
      </c>
      <c r="M16" s="1"/>
      <c r="O16" s="1"/>
    </row>
    <row r="17" spans="1:16">
      <c r="A17" s="8">
        <v>16</v>
      </c>
      <c r="B17">
        <v>9</v>
      </c>
      <c r="C17">
        <v>10</v>
      </c>
      <c r="D17">
        <v>100</v>
      </c>
      <c r="E17">
        <v>150</v>
      </c>
      <c r="F17" s="1">
        <f t="shared" si="0"/>
        <v>0.0269252990527845</v>
      </c>
      <c r="G17" s="1">
        <f t="shared" si="1"/>
        <v>0.352805158712927</v>
      </c>
      <c r="J17" t="s">
        <v>8</v>
      </c>
      <c r="M17" s="1"/>
      <c r="O17" s="1"/>
      <c r="P17" s="1"/>
    </row>
    <row r="18" spans="1:16">
      <c r="A18" s="8">
        <v>17</v>
      </c>
      <c r="B18">
        <v>9</v>
      </c>
      <c r="C18">
        <v>18</v>
      </c>
      <c r="D18">
        <v>60</v>
      </c>
      <c r="E18">
        <v>100</v>
      </c>
      <c r="F18" s="1">
        <f t="shared" si="0"/>
        <v>0.0303294509825929</v>
      </c>
      <c r="G18" s="1">
        <f t="shared" si="1"/>
        <v>0.235203439141951</v>
      </c>
      <c r="H18">
        <v>8</v>
      </c>
      <c r="J18" t="s">
        <v>8</v>
      </c>
      <c r="M18" s="1"/>
      <c r="O18" s="1"/>
      <c r="P18" s="1"/>
    </row>
    <row r="19" spans="1:16">
      <c r="A19" s="8">
        <v>18</v>
      </c>
      <c r="B19">
        <v>10</v>
      </c>
      <c r="C19">
        <v>19</v>
      </c>
      <c r="D19">
        <v>40</v>
      </c>
      <c r="E19">
        <v>125</v>
      </c>
      <c r="F19" s="1">
        <f t="shared" si="0"/>
        <v>0.0283811358286925</v>
      </c>
      <c r="G19" s="1">
        <f t="shared" si="1"/>
        <v>0.294004298927439</v>
      </c>
      <c r="H19">
        <v>9</v>
      </c>
      <c r="J19" t="s">
        <v>8</v>
      </c>
    </row>
    <row r="20" spans="1:16">
      <c r="A20" s="8">
        <v>19</v>
      </c>
      <c r="B20">
        <v>10</v>
      </c>
      <c r="C20">
        <v>20</v>
      </c>
      <c r="D20">
        <v>80</v>
      </c>
      <c r="E20">
        <v>125</v>
      </c>
      <c r="F20" s="1">
        <f t="shared" si="0"/>
        <v>0.0283811358286925</v>
      </c>
      <c r="G20" s="1">
        <f t="shared" si="1"/>
        <v>0.294004298927439</v>
      </c>
      <c r="H20">
        <v>10</v>
      </c>
      <c r="J20" t="s">
        <v>8</v>
      </c>
    </row>
    <row r="21" spans="1:16">
      <c r="A21" s="9">
        <v>20</v>
      </c>
      <c r="B21">
        <f>C2+20</f>
        <v>22</v>
      </c>
      <c r="C21">
        <f>B2+20</f>
        <v>21</v>
      </c>
      <c r="D21">
        <f>D2</f>
        <v>100</v>
      </c>
      <c r="E21">
        <f>E2</f>
        <v>250</v>
      </c>
      <c r="F21" s="1">
        <f t="shared" si="0"/>
        <v>0.0233947353976847</v>
      </c>
      <c r="G21" s="1">
        <f t="shared" si="1"/>
        <v>0.588008597854879</v>
      </c>
      <c r="J21" t="s">
        <v>10</v>
      </c>
    </row>
    <row r="22" spans="1:16">
      <c r="A22" s="9">
        <v>21</v>
      </c>
      <c r="B22">
        <f t="shared" ref="B22:B39" si="2">C3+20</f>
        <v>23</v>
      </c>
      <c r="C22">
        <f t="shared" ref="C22:C39" si="3">B3+20</f>
        <v>22</v>
      </c>
      <c r="D22">
        <f t="shared" ref="D22:D39" si="4">D3</f>
        <v>60</v>
      </c>
      <c r="E22">
        <f t="shared" ref="E22:E39" si="5">E3</f>
        <v>250</v>
      </c>
      <c r="F22" s="1">
        <f t="shared" si="0"/>
        <v>0.0233947353976847</v>
      </c>
      <c r="G22" s="1">
        <f t="shared" si="1"/>
        <v>0.588008597854879</v>
      </c>
      <c r="J22" t="s">
        <v>10</v>
      </c>
    </row>
    <row r="23" spans="1:16">
      <c r="A23" s="9">
        <v>22</v>
      </c>
      <c r="B23">
        <f t="shared" si="2"/>
        <v>31</v>
      </c>
      <c r="C23">
        <f t="shared" si="3"/>
        <v>22</v>
      </c>
      <c r="D23">
        <f t="shared" si="4"/>
        <v>40</v>
      </c>
      <c r="E23">
        <f t="shared" si="5"/>
        <v>100</v>
      </c>
      <c r="F23" s="1">
        <f t="shared" si="0"/>
        <v>0.0303294509825929</v>
      </c>
      <c r="G23" s="1">
        <f t="shared" si="1"/>
        <v>0.235203439141951</v>
      </c>
      <c r="J23" t="s">
        <v>10</v>
      </c>
    </row>
    <row r="24" spans="1:16">
      <c r="A24" s="9">
        <v>23</v>
      </c>
      <c r="B24">
        <f t="shared" si="2"/>
        <v>24</v>
      </c>
      <c r="C24">
        <f t="shared" si="3"/>
        <v>23</v>
      </c>
      <c r="D24">
        <f t="shared" si="4"/>
        <v>60</v>
      </c>
      <c r="E24">
        <f t="shared" si="5"/>
        <v>250</v>
      </c>
      <c r="F24" s="1">
        <f t="shared" si="0"/>
        <v>0.0233947353976847</v>
      </c>
      <c r="G24" s="1">
        <f t="shared" si="1"/>
        <v>0.588008597854879</v>
      </c>
      <c r="J24" t="s">
        <v>10</v>
      </c>
    </row>
    <row r="25" spans="1:16">
      <c r="A25" s="9">
        <v>24</v>
      </c>
      <c r="B25">
        <f t="shared" si="2"/>
        <v>32</v>
      </c>
      <c r="C25">
        <f t="shared" si="3"/>
        <v>23</v>
      </c>
      <c r="D25">
        <f t="shared" si="4"/>
        <v>40</v>
      </c>
      <c r="E25">
        <f t="shared" si="5"/>
        <v>80</v>
      </c>
      <c r="F25" s="1">
        <f t="shared" si="0"/>
        <v>0.032485497883736</v>
      </c>
      <c r="G25" s="1">
        <f t="shared" si="1"/>
        <v>0.188162751313561</v>
      </c>
      <c r="J25" t="s">
        <v>10</v>
      </c>
    </row>
    <row r="26" spans="1:16">
      <c r="A26" s="9">
        <v>25</v>
      </c>
      <c r="B26">
        <f t="shared" si="2"/>
        <v>25</v>
      </c>
      <c r="C26">
        <f t="shared" si="3"/>
        <v>24</v>
      </c>
      <c r="D26">
        <f t="shared" si="4"/>
        <v>60</v>
      </c>
      <c r="E26">
        <f t="shared" si="5"/>
        <v>250</v>
      </c>
      <c r="F26" s="1">
        <f t="shared" si="0"/>
        <v>0.0233947353976847</v>
      </c>
      <c r="G26" s="1">
        <f t="shared" si="1"/>
        <v>0.588008597854879</v>
      </c>
      <c r="J26" t="s">
        <v>10</v>
      </c>
    </row>
    <row r="27" spans="1:16">
      <c r="A27" s="9">
        <v>26</v>
      </c>
      <c r="B27">
        <f t="shared" si="2"/>
        <v>33</v>
      </c>
      <c r="C27">
        <f t="shared" si="3"/>
        <v>24</v>
      </c>
      <c r="D27">
        <f t="shared" si="4"/>
        <v>40</v>
      </c>
      <c r="E27">
        <f t="shared" si="5"/>
        <v>80</v>
      </c>
      <c r="F27" s="1">
        <f t="shared" si="0"/>
        <v>0.032485497883736</v>
      </c>
      <c r="G27" s="1">
        <f t="shared" si="1"/>
        <v>0.188162751313561</v>
      </c>
      <c r="J27" t="s">
        <v>10</v>
      </c>
    </row>
    <row r="28" spans="1:16">
      <c r="A28" s="9">
        <v>27</v>
      </c>
      <c r="B28">
        <f t="shared" si="2"/>
        <v>26</v>
      </c>
      <c r="C28">
        <f t="shared" si="3"/>
        <v>25</v>
      </c>
      <c r="D28">
        <f t="shared" si="4"/>
        <v>60</v>
      </c>
      <c r="E28">
        <f t="shared" si="5"/>
        <v>200</v>
      </c>
      <c r="F28" s="1">
        <f t="shared" si="0"/>
        <v>0.0248460425197335</v>
      </c>
      <c r="G28" s="1">
        <f t="shared" si="1"/>
        <v>0.470406878283903</v>
      </c>
      <c r="J28" t="s">
        <v>10</v>
      </c>
    </row>
    <row r="29" spans="1:16">
      <c r="A29" s="9">
        <v>28</v>
      </c>
      <c r="B29">
        <f t="shared" si="2"/>
        <v>34</v>
      </c>
      <c r="C29">
        <f t="shared" si="3"/>
        <v>25</v>
      </c>
      <c r="D29">
        <f t="shared" si="4"/>
        <v>40</v>
      </c>
      <c r="E29">
        <f t="shared" si="5"/>
        <v>100</v>
      </c>
      <c r="F29" s="1">
        <f t="shared" si="0"/>
        <v>0.0303294509825929</v>
      </c>
      <c r="G29" s="1">
        <f t="shared" si="1"/>
        <v>0.235203439141951</v>
      </c>
      <c r="J29" t="s">
        <v>10</v>
      </c>
    </row>
    <row r="30" spans="1:16">
      <c r="A30" s="9">
        <v>29</v>
      </c>
      <c r="B30">
        <f t="shared" si="2"/>
        <v>27</v>
      </c>
      <c r="C30">
        <f t="shared" si="3"/>
        <v>26</v>
      </c>
      <c r="D30">
        <f t="shared" si="4"/>
        <v>60</v>
      </c>
      <c r="E30">
        <f t="shared" si="5"/>
        <v>200</v>
      </c>
      <c r="F30" s="1">
        <f t="shared" si="0"/>
        <v>0.0248460425197335</v>
      </c>
      <c r="G30" s="1">
        <f t="shared" si="1"/>
        <v>0.470406878283903</v>
      </c>
      <c r="J30" t="s">
        <v>10</v>
      </c>
    </row>
    <row r="31" spans="1:16">
      <c r="A31" s="9">
        <v>30</v>
      </c>
      <c r="B31">
        <f t="shared" si="2"/>
        <v>35</v>
      </c>
      <c r="C31">
        <f t="shared" si="3"/>
        <v>26</v>
      </c>
      <c r="D31">
        <f t="shared" si="4"/>
        <v>60</v>
      </c>
      <c r="E31">
        <f t="shared" si="5"/>
        <v>100</v>
      </c>
      <c r="F31" s="1">
        <f t="shared" si="0"/>
        <v>0.0303294509825929</v>
      </c>
      <c r="G31" s="1">
        <f t="shared" si="1"/>
        <v>0.235203439141951</v>
      </c>
      <c r="J31" t="s">
        <v>10</v>
      </c>
    </row>
    <row r="32" spans="1:16">
      <c r="A32" s="9">
        <v>31</v>
      </c>
      <c r="B32">
        <f t="shared" si="2"/>
        <v>28</v>
      </c>
      <c r="C32">
        <f t="shared" si="3"/>
        <v>27</v>
      </c>
      <c r="D32">
        <f t="shared" si="4"/>
        <v>60</v>
      </c>
      <c r="E32">
        <f t="shared" si="5"/>
        <v>200</v>
      </c>
      <c r="F32" s="1">
        <f t="shared" si="0"/>
        <v>0.0248460425197335</v>
      </c>
      <c r="G32" s="1">
        <f t="shared" si="1"/>
        <v>0.470406878283903</v>
      </c>
      <c r="J32" t="s">
        <v>10</v>
      </c>
    </row>
    <row r="33" spans="1:10">
      <c r="A33" s="9">
        <v>32</v>
      </c>
      <c r="B33">
        <f t="shared" si="2"/>
        <v>36</v>
      </c>
      <c r="C33">
        <f t="shared" si="3"/>
        <v>27</v>
      </c>
      <c r="D33">
        <f t="shared" si="4"/>
        <v>60</v>
      </c>
      <c r="E33">
        <f t="shared" si="5"/>
        <v>65</v>
      </c>
      <c r="F33" s="1">
        <f t="shared" si="0"/>
        <v>0.0347051014322117</v>
      </c>
      <c r="G33" s="1">
        <f t="shared" si="1"/>
        <v>0.152882235442268</v>
      </c>
      <c r="J33" t="s">
        <v>10</v>
      </c>
    </row>
    <row r="34" spans="1:10">
      <c r="A34" s="9">
        <v>33</v>
      </c>
      <c r="B34">
        <f t="shared" si="2"/>
        <v>29</v>
      </c>
      <c r="C34">
        <f t="shared" si="3"/>
        <v>28</v>
      </c>
      <c r="D34">
        <f t="shared" si="4"/>
        <v>60</v>
      </c>
      <c r="E34">
        <f t="shared" si="5"/>
        <v>200</v>
      </c>
      <c r="F34" s="1">
        <f t="shared" si="0"/>
        <v>0.0248460425197335</v>
      </c>
      <c r="G34" s="1">
        <f t="shared" si="1"/>
        <v>0.470406878283903</v>
      </c>
      <c r="J34" t="s">
        <v>10</v>
      </c>
    </row>
    <row r="35" spans="1:10">
      <c r="A35" s="9">
        <v>34</v>
      </c>
      <c r="B35">
        <f t="shared" si="2"/>
        <v>37</v>
      </c>
      <c r="C35">
        <f t="shared" si="3"/>
        <v>28</v>
      </c>
      <c r="D35">
        <f t="shared" si="4"/>
        <v>60</v>
      </c>
      <c r="E35">
        <f t="shared" si="5"/>
        <v>80</v>
      </c>
      <c r="F35" s="1">
        <f t="shared" si="0"/>
        <v>0.032485497883736</v>
      </c>
      <c r="G35" s="1">
        <f t="shared" si="1"/>
        <v>0.188162751313561</v>
      </c>
      <c r="J35" t="s">
        <v>10</v>
      </c>
    </row>
    <row r="36" spans="1:10">
      <c r="A36" s="9">
        <v>35</v>
      </c>
      <c r="B36">
        <f t="shared" si="2"/>
        <v>30</v>
      </c>
      <c r="C36">
        <f t="shared" si="3"/>
        <v>29</v>
      </c>
      <c r="D36">
        <f t="shared" si="4"/>
        <v>100</v>
      </c>
      <c r="E36">
        <f t="shared" si="5"/>
        <v>150</v>
      </c>
      <c r="F36" s="1">
        <f t="shared" si="0"/>
        <v>0.0269252990527845</v>
      </c>
      <c r="G36" s="1">
        <f t="shared" si="1"/>
        <v>0.352805158712927</v>
      </c>
      <c r="J36" t="s">
        <v>10</v>
      </c>
    </row>
    <row r="37" spans="1:10">
      <c r="A37" s="9">
        <v>36</v>
      </c>
      <c r="B37">
        <f t="shared" si="2"/>
        <v>38</v>
      </c>
      <c r="C37">
        <f t="shared" si="3"/>
        <v>29</v>
      </c>
      <c r="D37">
        <f t="shared" si="4"/>
        <v>60</v>
      </c>
      <c r="E37">
        <f t="shared" si="5"/>
        <v>100</v>
      </c>
      <c r="F37" s="1">
        <f t="shared" si="0"/>
        <v>0.0303294509825929</v>
      </c>
      <c r="G37" s="1">
        <f t="shared" si="1"/>
        <v>0.235203439141951</v>
      </c>
      <c r="J37" t="s">
        <v>10</v>
      </c>
    </row>
    <row r="38" spans="1:10">
      <c r="A38" s="9">
        <v>37</v>
      </c>
      <c r="B38">
        <f t="shared" si="2"/>
        <v>39</v>
      </c>
      <c r="C38">
        <f t="shared" si="3"/>
        <v>30</v>
      </c>
      <c r="D38">
        <f t="shared" si="4"/>
        <v>40</v>
      </c>
      <c r="E38">
        <f t="shared" si="5"/>
        <v>125</v>
      </c>
      <c r="F38" s="1">
        <f t="shared" si="0"/>
        <v>0.0283811358286925</v>
      </c>
      <c r="G38" s="1">
        <f t="shared" si="1"/>
        <v>0.294004298927439</v>
      </c>
      <c r="J38" t="s">
        <v>10</v>
      </c>
    </row>
    <row r="39" spans="1:10">
      <c r="A39" s="9">
        <v>38</v>
      </c>
      <c r="B39">
        <f t="shared" si="2"/>
        <v>40</v>
      </c>
      <c r="C39">
        <f t="shared" si="3"/>
        <v>30</v>
      </c>
      <c r="D39">
        <f t="shared" si="4"/>
        <v>80</v>
      </c>
      <c r="E39">
        <f t="shared" si="5"/>
        <v>125</v>
      </c>
      <c r="F39" s="1">
        <f t="shared" si="0"/>
        <v>0.0283811358286925</v>
      </c>
      <c r="G39" s="1">
        <f t="shared" si="1"/>
        <v>0.294004298927439</v>
      </c>
      <c r="J39" t="s">
        <v>10</v>
      </c>
    </row>
    <row r="40" spans="1:10">
      <c r="A40" s="10">
        <v>39</v>
      </c>
      <c r="B40">
        <v>11</v>
      </c>
      <c r="C40">
        <v>31</v>
      </c>
      <c r="D40">
        <v>56.3380281690141</v>
      </c>
      <c r="E40">
        <v>80</v>
      </c>
      <c r="F40" s="1">
        <f t="shared" ref="F40:F49" si="6">1/(1.14+2*LOG10((E40/0.5)))^2</f>
        <v>0.032485497883736</v>
      </c>
      <c r="G40" s="1">
        <f t="shared" ref="G40:G49" si="7">3.14*E40/1000/(0.03/0.023+0.01/0.5+1/1500+1/100)</f>
        <v>0.188162751313561</v>
      </c>
      <c r="J40" t="s">
        <v>20</v>
      </c>
    </row>
    <row r="41" spans="1:10">
      <c r="A41" s="10">
        <v>40</v>
      </c>
      <c r="B41">
        <v>12</v>
      </c>
      <c r="C41">
        <v>32</v>
      </c>
      <c r="D41">
        <v>97.5609756097561</v>
      </c>
      <c r="E41">
        <v>80</v>
      </c>
      <c r="F41" s="1">
        <f t="shared" si="6"/>
        <v>0.032485497883736</v>
      </c>
      <c r="G41" s="1">
        <f t="shared" si="7"/>
        <v>0.188162751313561</v>
      </c>
      <c r="J41" t="s">
        <v>20</v>
      </c>
    </row>
    <row r="42" spans="1:10">
      <c r="A42" s="10">
        <v>41</v>
      </c>
      <c r="B42">
        <v>13</v>
      </c>
      <c r="C42">
        <v>33</v>
      </c>
      <c r="D42">
        <v>79.8403193612775</v>
      </c>
      <c r="E42">
        <v>80</v>
      </c>
      <c r="F42" s="1">
        <f t="shared" si="6"/>
        <v>0.032485497883736</v>
      </c>
      <c r="G42" s="1">
        <f t="shared" si="7"/>
        <v>0.188162751313561</v>
      </c>
      <c r="J42" t="s">
        <v>20</v>
      </c>
    </row>
    <row r="43" spans="1:10">
      <c r="A43" s="10">
        <v>42</v>
      </c>
      <c r="B43">
        <v>14</v>
      </c>
      <c r="C43">
        <v>34</v>
      </c>
      <c r="D43">
        <v>69.9056274030059</v>
      </c>
      <c r="E43">
        <v>100</v>
      </c>
      <c r="F43" s="1">
        <f t="shared" si="6"/>
        <v>0.0303294509825929</v>
      </c>
      <c r="G43" s="1">
        <f t="shared" si="7"/>
        <v>0.235203439141951</v>
      </c>
      <c r="J43" t="s">
        <v>20</v>
      </c>
    </row>
    <row r="44" spans="1:10">
      <c r="A44" s="10">
        <v>43</v>
      </c>
      <c r="B44">
        <v>15</v>
      </c>
      <c r="C44">
        <v>35</v>
      </c>
      <c r="D44">
        <v>38.7747188832881</v>
      </c>
      <c r="E44">
        <v>80</v>
      </c>
      <c r="F44" s="1">
        <f t="shared" si="6"/>
        <v>0.032485497883736</v>
      </c>
      <c r="G44" s="1">
        <f t="shared" si="7"/>
        <v>0.188162751313561</v>
      </c>
      <c r="J44" t="s">
        <v>20</v>
      </c>
    </row>
    <row r="45" spans="1:10">
      <c r="A45" s="10">
        <v>44</v>
      </c>
      <c r="B45">
        <v>16</v>
      </c>
      <c r="C45">
        <v>36</v>
      </c>
      <c r="D45">
        <v>486.61800486618</v>
      </c>
      <c r="E45">
        <v>80</v>
      </c>
      <c r="F45" s="1">
        <f t="shared" si="6"/>
        <v>0.032485497883736</v>
      </c>
      <c r="G45" s="1">
        <f t="shared" si="7"/>
        <v>0.188162751313561</v>
      </c>
      <c r="J45" t="s">
        <v>20</v>
      </c>
    </row>
    <row r="46" spans="1:10">
      <c r="A46" s="10">
        <v>45</v>
      </c>
      <c r="B46">
        <v>17</v>
      </c>
      <c r="C46">
        <v>37</v>
      </c>
      <c r="D46">
        <v>156.494522691706</v>
      </c>
      <c r="E46">
        <v>80</v>
      </c>
      <c r="F46" s="1">
        <f t="shared" si="6"/>
        <v>0.032485497883736</v>
      </c>
      <c r="G46" s="1">
        <f t="shared" si="7"/>
        <v>0.188162751313561</v>
      </c>
      <c r="J46" t="s">
        <v>20</v>
      </c>
    </row>
    <row r="47" spans="1:10">
      <c r="A47" s="10">
        <v>46</v>
      </c>
      <c r="B47">
        <v>18</v>
      </c>
      <c r="C47">
        <v>38</v>
      </c>
      <c r="D47">
        <v>66.577896138482</v>
      </c>
      <c r="E47">
        <v>80</v>
      </c>
      <c r="F47" s="1">
        <f t="shared" si="6"/>
        <v>0.032485497883736</v>
      </c>
      <c r="G47" s="1">
        <f t="shared" si="7"/>
        <v>0.188162751313561</v>
      </c>
      <c r="J47" t="s">
        <v>20</v>
      </c>
    </row>
    <row r="48" spans="1:10">
      <c r="A48" s="10">
        <v>47</v>
      </c>
      <c r="B48">
        <v>19</v>
      </c>
      <c r="C48">
        <v>39</v>
      </c>
      <c r="D48">
        <v>34.3938091143594</v>
      </c>
      <c r="E48">
        <v>80</v>
      </c>
      <c r="F48" s="1">
        <f t="shared" si="6"/>
        <v>0.032485497883736</v>
      </c>
      <c r="G48" s="1">
        <f t="shared" si="7"/>
        <v>0.188162751313561</v>
      </c>
      <c r="J48" t="s">
        <v>20</v>
      </c>
    </row>
    <row r="49" spans="1:10">
      <c r="A49" s="10">
        <v>48</v>
      </c>
      <c r="B49">
        <v>20</v>
      </c>
      <c r="C49">
        <v>40</v>
      </c>
      <c r="D49">
        <v>32.3362974939369</v>
      </c>
      <c r="E49">
        <v>80</v>
      </c>
      <c r="F49" s="1">
        <f t="shared" si="6"/>
        <v>0.032485497883736</v>
      </c>
      <c r="G49" s="1">
        <f t="shared" si="7"/>
        <v>0.188162751313561</v>
      </c>
      <c r="J49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1" sqref="B11"/>
    </sheetView>
  </sheetViews>
  <sheetFormatPr defaultColWidth="9.23076923076923" defaultRowHeight="16.8" outlineLevelCol="1"/>
  <sheetData>
    <row r="1" spans="1:2">
      <c r="A1" s="1" t="s">
        <v>21</v>
      </c>
      <c r="B1" s="1">
        <v>2</v>
      </c>
    </row>
    <row r="2" spans="1:2">
      <c r="A2" s="1" t="s">
        <v>22</v>
      </c>
      <c r="B2" s="1">
        <v>2</v>
      </c>
    </row>
    <row r="3" spans="1:2">
      <c r="A3" s="1" t="s">
        <v>23</v>
      </c>
      <c r="B3" s="1">
        <v>2</v>
      </c>
    </row>
    <row r="4" spans="1:2">
      <c r="A4" s="1" t="s">
        <v>24</v>
      </c>
      <c r="B4" s="1">
        <v>2</v>
      </c>
    </row>
    <row r="5" spans="1:2">
      <c r="A5" s="1" t="s">
        <v>25</v>
      </c>
      <c r="B5" s="1">
        <v>2</v>
      </c>
    </row>
    <row r="6" spans="1:2">
      <c r="A6" s="1" t="s">
        <v>26</v>
      </c>
      <c r="B6" s="1">
        <v>2</v>
      </c>
    </row>
    <row r="7" spans="1:2">
      <c r="A7" s="1" t="s">
        <v>27</v>
      </c>
      <c r="B7" s="1">
        <v>2</v>
      </c>
    </row>
    <row r="8" spans="1:2">
      <c r="A8" s="1" t="s">
        <v>28</v>
      </c>
      <c r="B8" s="1">
        <v>2</v>
      </c>
    </row>
    <row r="9" spans="1:2">
      <c r="A9" s="1" t="s">
        <v>29</v>
      </c>
      <c r="B9" s="1">
        <v>2</v>
      </c>
    </row>
    <row r="10" spans="1:2">
      <c r="A10" s="1" t="s">
        <v>30</v>
      </c>
      <c r="B10" s="1">
        <v>2</v>
      </c>
    </row>
    <row r="11" spans="1:2">
      <c r="A11" s="1"/>
    </row>
    <row r="12" spans="1:2">
      <c r="A12" s="1"/>
    </row>
    <row r="13" spans="1:2">
      <c r="A13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84" zoomScaleNormal="84" workbookViewId="0">
      <selection activeCell="J2" sqref="J2:J11"/>
    </sheetView>
  </sheetViews>
  <sheetFormatPr defaultColWidth="9.23076923076923" defaultRowHeight="16.8"/>
  <cols>
    <col min="8" max="8" width="14.7403846153846" customWidth="1"/>
    <col min="9" max="9" width="19.7115384615385" customWidth="1"/>
    <col min="10" max="12" width="12.9230769230769"/>
  </cols>
  <sheetData>
    <row r="1" spans="1:12">
      <c r="A1" s="1" t="s">
        <v>0</v>
      </c>
      <c r="B1" s="1" t="s">
        <v>14</v>
      </c>
      <c r="C1" s="1" t="s">
        <v>31</v>
      </c>
      <c r="D1" s="1" t="s">
        <v>32</v>
      </c>
      <c r="E1" s="1" t="s">
        <v>33</v>
      </c>
      <c r="F1" t="s">
        <v>34</v>
      </c>
      <c r="G1" s="1" t="s">
        <v>35</v>
      </c>
      <c r="H1" s="6" t="s">
        <v>36</v>
      </c>
      <c r="I1" s="1" t="s">
        <v>37</v>
      </c>
      <c r="J1" s="1" t="s">
        <v>38</v>
      </c>
      <c r="K1" t="s">
        <v>1</v>
      </c>
      <c r="L1" t="s">
        <v>39</v>
      </c>
    </row>
    <row r="2" spans="1:12">
      <c r="A2" s="1">
        <v>1</v>
      </c>
      <c r="B2" s="1">
        <v>40</v>
      </c>
      <c r="C2" s="1">
        <v>15</v>
      </c>
      <c r="D2" s="1">
        <v>3</v>
      </c>
      <c r="E2" s="1">
        <v>10</v>
      </c>
      <c r="F2">
        <f>B2*C2*E2</f>
        <v>6000</v>
      </c>
      <c r="G2" s="1">
        <v>10</v>
      </c>
      <c r="H2" s="1">
        <f>F2*50</f>
        <v>300000</v>
      </c>
      <c r="I2" s="1">
        <f t="shared" ref="I2:I11" si="0">H2/1000/10/4.2*3.6</f>
        <v>25.7142857142857</v>
      </c>
      <c r="J2" s="1">
        <f>H2/(50-20)*1</f>
        <v>10000</v>
      </c>
      <c r="K2" t="s">
        <v>40</v>
      </c>
      <c r="L2">
        <f>SUM(I2:I11)</f>
        <v>246.085714285714</v>
      </c>
    </row>
    <row r="3" spans="1:12">
      <c r="A3" s="1">
        <v>2</v>
      </c>
      <c r="B3" s="1">
        <v>36</v>
      </c>
      <c r="C3" s="1">
        <v>15</v>
      </c>
      <c r="D3" s="1">
        <v>3</v>
      </c>
      <c r="E3" s="1">
        <v>8</v>
      </c>
      <c r="F3">
        <f t="shared" ref="F3:F12" si="1">B3*C3*E3</f>
        <v>4320</v>
      </c>
      <c r="G3" s="1">
        <v>10</v>
      </c>
      <c r="H3" s="1">
        <f t="shared" ref="H3:H11" si="2">F3*50</f>
        <v>216000</v>
      </c>
      <c r="I3" s="1">
        <f t="shared" si="0"/>
        <v>18.5142857142857</v>
      </c>
      <c r="J3" s="1">
        <f t="shared" ref="J3:J11" si="3">H3/(50-20)*1</f>
        <v>7200</v>
      </c>
      <c r="K3" t="s">
        <v>40</v>
      </c>
    </row>
    <row r="4" spans="1:12">
      <c r="A4" s="1">
        <v>3</v>
      </c>
      <c r="B4" s="1">
        <v>40</v>
      </c>
      <c r="C4" s="1">
        <v>15</v>
      </c>
      <c r="D4" s="1">
        <v>3</v>
      </c>
      <c r="E4" s="1">
        <v>8</v>
      </c>
      <c r="F4">
        <f t="shared" si="1"/>
        <v>4800</v>
      </c>
      <c r="G4" s="1">
        <v>10</v>
      </c>
      <c r="H4" s="1">
        <f t="shared" si="2"/>
        <v>240000</v>
      </c>
      <c r="I4" s="1">
        <f t="shared" si="0"/>
        <v>20.5714285714286</v>
      </c>
      <c r="J4" s="1">
        <f t="shared" si="3"/>
        <v>8000</v>
      </c>
      <c r="K4" t="s">
        <v>40</v>
      </c>
    </row>
    <row r="5" spans="1:12">
      <c r="A5" s="1">
        <v>4</v>
      </c>
      <c r="B5" s="1">
        <v>40</v>
      </c>
      <c r="C5" s="1">
        <v>20</v>
      </c>
      <c r="D5" s="1">
        <v>3</v>
      </c>
      <c r="E5" s="1">
        <v>11</v>
      </c>
      <c r="F5">
        <f t="shared" si="1"/>
        <v>8800</v>
      </c>
      <c r="G5" s="1">
        <v>10</v>
      </c>
      <c r="H5" s="1">
        <f t="shared" si="2"/>
        <v>440000</v>
      </c>
      <c r="I5" s="1">
        <f t="shared" si="0"/>
        <v>37.7142857142857</v>
      </c>
      <c r="J5" s="1">
        <f t="shared" si="3"/>
        <v>14666.6666666667</v>
      </c>
      <c r="K5" t="s">
        <v>40</v>
      </c>
    </row>
    <row r="6" spans="1:12">
      <c r="A6" s="1">
        <v>5</v>
      </c>
      <c r="B6" s="1">
        <v>30</v>
      </c>
      <c r="C6" s="1">
        <v>20</v>
      </c>
      <c r="D6" s="1">
        <v>3</v>
      </c>
      <c r="E6" s="1">
        <v>12</v>
      </c>
      <c r="F6">
        <f t="shared" si="1"/>
        <v>7200</v>
      </c>
      <c r="G6" s="1">
        <v>10</v>
      </c>
      <c r="H6" s="1">
        <f t="shared" si="2"/>
        <v>360000</v>
      </c>
      <c r="I6" s="1">
        <f t="shared" si="0"/>
        <v>30.8571428571429</v>
      </c>
      <c r="J6" s="1">
        <f t="shared" si="3"/>
        <v>12000</v>
      </c>
      <c r="K6" t="s">
        <v>40</v>
      </c>
    </row>
    <row r="7" spans="1:12">
      <c r="A7" s="1">
        <v>6</v>
      </c>
      <c r="B7">
        <v>20</v>
      </c>
      <c r="C7">
        <v>10</v>
      </c>
      <c r="D7" s="1">
        <v>3</v>
      </c>
      <c r="E7">
        <v>10</v>
      </c>
      <c r="F7">
        <f t="shared" si="1"/>
        <v>2000</v>
      </c>
      <c r="G7" s="1">
        <v>10</v>
      </c>
      <c r="H7" s="1">
        <f t="shared" si="2"/>
        <v>100000</v>
      </c>
      <c r="I7" s="1">
        <f t="shared" si="0"/>
        <v>8.57142857142857</v>
      </c>
      <c r="J7" s="1">
        <f t="shared" si="3"/>
        <v>3333.33333333333</v>
      </c>
      <c r="K7" t="s">
        <v>40</v>
      </c>
    </row>
    <row r="8" spans="1:12">
      <c r="A8" s="1">
        <v>7</v>
      </c>
      <c r="B8">
        <v>20</v>
      </c>
      <c r="C8">
        <v>15</v>
      </c>
      <c r="D8" s="1">
        <v>3</v>
      </c>
      <c r="E8">
        <v>12</v>
      </c>
      <c r="F8">
        <f t="shared" si="1"/>
        <v>3600</v>
      </c>
      <c r="G8" s="1">
        <v>10</v>
      </c>
      <c r="H8" s="1">
        <f t="shared" si="2"/>
        <v>180000</v>
      </c>
      <c r="I8" s="1">
        <f t="shared" si="0"/>
        <v>15.4285714285714</v>
      </c>
      <c r="J8" s="1">
        <f t="shared" si="3"/>
        <v>6000</v>
      </c>
      <c r="K8" t="s">
        <v>40</v>
      </c>
    </row>
    <row r="9" spans="1:12">
      <c r="A9" s="1">
        <v>8</v>
      </c>
      <c r="B9">
        <v>30</v>
      </c>
      <c r="C9">
        <v>15</v>
      </c>
      <c r="D9" s="1">
        <v>3</v>
      </c>
      <c r="E9">
        <v>12</v>
      </c>
      <c r="F9">
        <f t="shared" si="1"/>
        <v>5400</v>
      </c>
      <c r="G9" s="1">
        <v>10</v>
      </c>
      <c r="H9" s="1">
        <f t="shared" si="2"/>
        <v>270000</v>
      </c>
      <c r="I9" s="1">
        <f t="shared" si="0"/>
        <v>23.1428571428571</v>
      </c>
      <c r="J9" s="1">
        <f t="shared" si="3"/>
        <v>9000</v>
      </c>
      <c r="K9" t="s">
        <v>40</v>
      </c>
    </row>
    <row r="10" spans="1:12">
      <c r="A10" s="1">
        <v>9</v>
      </c>
      <c r="B10">
        <v>25</v>
      </c>
      <c r="C10">
        <v>25</v>
      </c>
      <c r="D10" s="1">
        <v>3</v>
      </c>
      <c r="E10">
        <v>12</v>
      </c>
      <c r="F10">
        <f t="shared" si="1"/>
        <v>7500</v>
      </c>
      <c r="G10" s="1">
        <v>10</v>
      </c>
      <c r="H10" s="1">
        <f t="shared" si="2"/>
        <v>375000</v>
      </c>
      <c r="I10" s="1">
        <f t="shared" si="0"/>
        <v>32.1428571428571</v>
      </c>
      <c r="J10" s="1">
        <f t="shared" si="3"/>
        <v>12500</v>
      </c>
      <c r="K10" t="s">
        <v>40</v>
      </c>
    </row>
    <row r="11" spans="1:12">
      <c r="A11" s="1">
        <v>10</v>
      </c>
      <c r="B11">
        <v>24</v>
      </c>
      <c r="C11">
        <v>25</v>
      </c>
      <c r="D11" s="1">
        <v>3</v>
      </c>
      <c r="E11">
        <v>13</v>
      </c>
      <c r="F11">
        <f t="shared" si="1"/>
        <v>7800</v>
      </c>
      <c r="G11" s="1">
        <v>10</v>
      </c>
      <c r="H11" s="1">
        <f t="shared" si="2"/>
        <v>390000</v>
      </c>
      <c r="I11" s="1">
        <f t="shared" si="0"/>
        <v>33.4285714285714</v>
      </c>
      <c r="J11" s="1">
        <f t="shared" si="3"/>
        <v>13000</v>
      </c>
      <c r="K11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G18" sqref="G18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4230769230769" customWidth="1"/>
    <col min="11" max="11" width="37.3076923076923" customWidth="1"/>
    <col min="12" max="12" width="17.4230769230769" customWidth="1"/>
    <col min="13" max="13" width="15.7692307692308" customWidth="1"/>
  </cols>
  <sheetData>
    <row r="1" ht="17" spans="1:14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2" t="s">
        <v>52</v>
      </c>
      <c r="M1" s="1" t="s">
        <v>53</v>
      </c>
      <c r="N1" t="s">
        <v>54</v>
      </c>
    </row>
    <row r="2" spans="1:14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>
        <v>1000</v>
      </c>
      <c r="M2" s="1">
        <f>1*10^-3</f>
        <v>0.001</v>
      </c>
      <c r="N2">
        <f>SUM(G3:G12)</f>
        <v>45456</v>
      </c>
    </row>
    <row r="3" spans="1:14">
      <c r="A3" s="3" t="s">
        <v>56</v>
      </c>
      <c r="B3">
        <f>246.085714285714</f>
        <v>246.085714285714</v>
      </c>
      <c r="C3" s="1">
        <v>100</v>
      </c>
      <c r="D3" s="1">
        <v>250</v>
      </c>
      <c r="E3" s="1">
        <v>1.36</v>
      </c>
      <c r="F3" s="1">
        <v>77.9</v>
      </c>
      <c r="G3" s="1">
        <f t="shared" ref="G3:G12" si="0">C3*F3</f>
        <v>7790</v>
      </c>
      <c r="H3" s="1"/>
      <c r="I3" s="1"/>
      <c r="J3" s="1">
        <f>L$2*E3*D3/1000/M$2</f>
        <v>340000</v>
      </c>
      <c r="K3" s="1">
        <f>1/(1.14+2*LOG10((D3/0.5)))^2</f>
        <v>0.0233947353976847</v>
      </c>
    </row>
    <row r="4" spans="1:14">
      <c r="A4" s="1" t="s">
        <v>57</v>
      </c>
      <c r="B4" s="1">
        <f>B3-B15</f>
        <v>220.371428571428</v>
      </c>
      <c r="C4" s="1">
        <v>60</v>
      </c>
      <c r="D4" s="1">
        <v>250</v>
      </c>
      <c r="E4" s="1">
        <v>1.19</v>
      </c>
      <c r="F4" s="1">
        <v>60.4</v>
      </c>
      <c r="G4" s="1">
        <f t="shared" si="0"/>
        <v>3624</v>
      </c>
      <c r="H4" s="1"/>
      <c r="I4" s="1"/>
      <c r="J4" s="1">
        <f>L$2*E4*D4/1000/M$2</f>
        <v>297500</v>
      </c>
      <c r="K4" s="1">
        <f>1/(1.14+2*LOG10((D4/0.5)))^2</f>
        <v>0.0233947353976847</v>
      </c>
    </row>
    <row r="5" spans="1:14">
      <c r="A5" s="1" t="s">
        <v>58</v>
      </c>
      <c r="B5" s="1">
        <f>B4-B16</f>
        <v>201.857142857143</v>
      </c>
      <c r="C5" s="1">
        <v>60</v>
      </c>
      <c r="D5" s="1">
        <v>250</v>
      </c>
      <c r="E5" s="1">
        <v>1.08</v>
      </c>
      <c r="F5" s="1">
        <v>49.9</v>
      </c>
      <c r="G5" s="1">
        <f t="shared" si="0"/>
        <v>2994</v>
      </c>
      <c r="H5" s="1"/>
      <c r="I5" s="1"/>
      <c r="J5" s="1">
        <f>L$2*E5*D5/1000/M$2</f>
        <v>270000</v>
      </c>
      <c r="K5" s="1">
        <f>1/(1.14+2*LOG10((D5/0.5)))^2</f>
        <v>0.0233947353976847</v>
      </c>
    </row>
    <row r="6" spans="1:14">
      <c r="A6" s="1" t="s">
        <v>59</v>
      </c>
      <c r="B6" s="1">
        <f t="shared" ref="B6:B12" si="1">B5-B17</f>
        <v>181.285714285714</v>
      </c>
      <c r="C6" s="1">
        <v>60</v>
      </c>
      <c r="D6" s="1">
        <v>250</v>
      </c>
      <c r="E6" s="1">
        <v>0.98</v>
      </c>
      <c r="F6" s="1">
        <v>40.4</v>
      </c>
      <c r="G6" s="1">
        <f t="shared" si="0"/>
        <v>2424</v>
      </c>
      <c r="H6" s="1"/>
      <c r="I6" s="1"/>
      <c r="J6" s="1">
        <f>L$2*E6*D6/1000/M$2</f>
        <v>245000</v>
      </c>
      <c r="K6" s="1">
        <f>1/(1.14+2*LOG10((D6/0.5)))^2</f>
        <v>0.0233947353976847</v>
      </c>
    </row>
    <row r="7" spans="1:14">
      <c r="A7" t="s">
        <v>60</v>
      </c>
      <c r="B7" s="1">
        <f t="shared" si="1"/>
        <v>143.571428571428</v>
      </c>
      <c r="C7">
        <v>60</v>
      </c>
      <c r="D7">
        <v>200</v>
      </c>
      <c r="E7">
        <v>1.25</v>
      </c>
      <c r="F7">
        <v>88.9</v>
      </c>
      <c r="G7" s="1">
        <f t="shared" si="0"/>
        <v>5334</v>
      </c>
      <c r="J7" s="1">
        <f t="shared" ref="J7:J12" si="2">L$2*E7*D7/1000/M$2</f>
        <v>250000</v>
      </c>
      <c r="K7" s="1">
        <f t="shared" ref="K7:K12" si="3">1/(1.14+2*LOG10((D7/0.5)))^2</f>
        <v>0.0248460425197335</v>
      </c>
    </row>
    <row r="8" spans="1:14">
      <c r="A8" t="s">
        <v>61</v>
      </c>
      <c r="B8" s="1">
        <f t="shared" si="1"/>
        <v>112.714285714285</v>
      </c>
      <c r="C8">
        <v>60</v>
      </c>
      <c r="D8">
        <v>200</v>
      </c>
      <c r="E8">
        <v>0.95</v>
      </c>
      <c r="F8">
        <v>51.2</v>
      </c>
      <c r="G8" s="1">
        <f t="shared" si="0"/>
        <v>3072</v>
      </c>
      <c r="J8" s="1">
        <f t="shared" si="2"/>
        <v>190000</v>
      </c>
      <c r="K8" s="1">
        <f t="shared" si="3"/>
        <v>0.0248460425197335</v>
      </c>
    </row>
    <row r="9" spans="1:14">
      <c r="A9" t="s">
        <v>62</v>
      </c>
      <c r="B9" s="1">
        <f t="shared" si="1"/>
        <v>104.142857142857</v>
      </c>
      <c r="C9">
        <v>60</v>
      </c>
      <c r="D9">
        <v>200</v>
      </c>
      <c r="E9">
        <v>0.9</v>
      </c>
      <c r="F9">
        <v>46.4</v>
      </c>
      <c r="G9" s="1">
        <f t="shared" si="0"/>
        <v>2784</v>
      </c>
      <c r="J9" s="1">
        <f t="shared" si="2"/>
        <v>180000</v>
      </c>
      <c r="K9" s="1">
        <f t="shared" si="3"/>
        <v>0.0248460425197335</v>
      </c>
    </row>
    <row r="10" spans="1:14">
      <c r="A10" t="s">
        <v>63</v>
      </c>
      <c r="B10" s="1">
        <f t="shared" si="1"/>
        <v>88.7142857142854</v>
      </c>
      <c r="C10">
        <v>60</v>
      </c>
      <c r="D10">
        <v>200</v>
      </c>
      <c r="E10">
        <v>0.78</v>
      </c>
      <c r="F10">
        <v>34.3</v>
      </c>
      <c r="G10" s="1">
        <f t="shared" si="0"/>
        <v>2058</v>
      </c>
      <c r="J10" s="1">
        <f t="shared" si="2"/>
        <v>156000</v>
      </c>
      <c r="K10" s="1">
        <f t="shared" si="3"/>
        <v>0.0248460425197335</v>
      </c>
    </row>
    <row r="11" spans="1:14">
      <c r="A11" t="s">
        <v>64</v>
      </c>
      <c r="B11" s="1">
        <f t="shared" si="1"/>
        <v>65.5714285714283</v>
      </c>
      <c r="C11">
        <v>100</v>
      </c>
      <c r="D11">
        <v>150</v>
      </c>
      <c r="E11">
        <v>1.08</v>
      </c>
      <c r="F11">
        <v>100.8</v>
      </c>
      <c r="G11" s="1">
        <f t="shared" si="0"/>
        <v>10080</v>
      </c>
      <c r="J11" s="1">
        <f t="shared" si="2"/>
        <v>162000</v>
      </c>
      <c r="K11" s="1">
        <f t="shared" si="3"/>
        <v>0.0269252990527845</v>
      </c>
    </row>
    <row r="12" spans="1:14">
      <c r="A12" t="s">
        <v>65</v>
      </c>
      <c r="B12" s="1">
        <f t="shared" si="1"/>
        <v>33.4285714285711</v>
      </c>
      <c r="C12">
        <v>80</v>
      </c>
      <c r="D12">
        <v>125</v>
      </c>
      <c r="E12">
        <v>0.78</v>
      </c>
      <c r="F12">
        <v>66.2</v>
      </c>
      <c r="G12" s="1">
        <f t="shared" si="0"/>
        <v>5296</v>
      </c>
      <c r="J12" s="1">
        <f t="shared" si="2"/>
        <v>97500</v>
      </c>
      <c r="K12" s="1">
        <f t="shared" si="3"/>
        <v>0.0283811358286925</v>
      </c>
    </row>
    <row r="13" spans="1:14">
      <c r="B13" s="1"/>
      <c r="C13" s="1"/>
      <c r="D13" s="1"/>
      <c r="E13" s="1"/>
      <c r="F13" s="1"/>
      <c r="G13" s="1"/>
      <c r="H13" s="1"/>
      <c r="I13" s="1"/>
    </row>
    <row r="14" spans="1:14">
      <c r="A14" s="1" t="s">
        <v>66</v>
      </c>
    </row>
    <row r="15" spans="1:14">
      <c r="A15" s="1" t="s">
        <v>67</v>
      </c>
      <c r="B15" s="1">
        <v>25.7142857142857</v>
      </c>
      <c r="C15" s="1">
        <v>40</v>
      </c>
      <c r="D15" s="1">
        <v>100</v>
      </c>
      <c r="E15" s="1">
        <v>0.92</v>
      </c>
      <c r="F15" s="1">
        <v>123.8</v>
      </c>
      <c r="G15" s="1">
        <f t="shared" ref="G15:G23" si="4">C15*F15</f>
        <v>4952</v>
      </c>
      <c r="H15" s="1">
        <f>N$2-G3</f>
        <v>37666</v>
      </c>
      <c r="I15" s="1">
        <f>H15/C15</f>
        <v>941.65</v>
      </c>
      <c r="J15" s="1">
        <f>L$2*E15*D15/1000/M$2</f>
        <v>92000</v>
      </c>
      <c r="K15" s="1">
        <f t="shared" ref="K15:K24" si="5">1/(1.14+2*LOG10((D15/0.5)))^2</f>
        <v>0.0303294509825929</v>
      </c>
    </row>
    <row r="16" spans="1:14">
      <c r="A16" s="1" t="s">
        <v>68</v>
      </c>
      <c r="B16" s="1">
        <v>18.5142857142857</v>
      </c>
      <c r="C16" s="1">
        <v>40</v>
      </c>
      <c r="D16" s="1">
        <v>80</v>
      </c>
      <c r="E16" s="1">
        <v>0.99</v>
      </c>
      <c r="F16" s="1">
        <v>184</v>
      </c>
      <c r="G16" s="1">
        <f t="shared" si="4"/>
        <v>7360</v>
      </c>
      <c r="H16" s="1">
        <f>H15-G4</f>
        <v>34042</v>
      </c>
      <c r="I16" s="1">
        <f t="shared" ref="I16:I23" si="6">H16/C16</f>
        <v>851.05</v>
      </c>
      <c r="J16" s="1">
        <f>L$2*E16*D16/1000/M$2</f>
        <v>79200</v>
      </c>
      <c r="K16" s="1">
        <f t="shared" si="5"/>
        <v>0.032485497883736</v>
      </c>
    </row>
    <row r="17" spans="1:11">
      <c r="A17" s="1" t="s">
        <v>69</v>
      </c>
      <c r="B17" s="1">
        <v>20.5714285714286</v>
      </c>
      <c r="C17" s="1">
        <v>40</v>
      </c>
      <c r="D17" s="1">
        <v>80</v>
      </c>
      <c r="E17" s="1">
        <v>1.1</v>
      </c>
      <c r="F17" s="1">
        <v>227.2</v>
      </c>
      <c r="G17" s="1">
        <f t="shared" si="4"/>
        <v>9088</v>
      </c>
      <c r="H17" s="1">
        <f t="shared" ref="H17:H23" si="7">H16-G5</f>
        <v>31048</v>
      </c>
      <c r="I17" s="1">
        <f t="shared" si="6"/>
        <v>776.2</v>
      </c>
      <c r="J17" s="1">
        <f>L$2*E17*D17/1000/M$2</f>
        <v>88000</v>
      </c>
      <c r="K17" s="1">
        <f t="shared" si="5"/>
        <v>0.032485497883736</v>
      </c>
    </row>
    <row r="18" spans="1:11">
      <c r="A18" s="1" t="s">
        <v>70</v>
      </c>
      <c r="B18" s="1">
        <v>37.7142857142857</v>
      </c>
      <c r="C18" s="1">
        <v>40</v>
      </c>
      <c r="D18" s="1">
        <v>100</v>
      </c>
      <c r="E18">
        <v>1.4</v>
      </c>
      <c r="F18" s="1">
        <v>286.1</v>
      </c>
      <c r="G18" s="1">
        <f t="shared" si="4"/>
        <v>11444</v>
      </c>
      <c r="H18" s="1">
        <f t="shared" si="7"/>
        <v>28624</v>
      </c>
      <c r="I18" s="1">
        <f t="shared" si="6"/>
        <v>715.6</v>
      </c>
      <c r="J18" s="1">
        <f>L$2*F18*D18/1000/M$2</f>
        <v>28610000</v>
      </c>
      <c r="K18" s="1">
        <f t="shared" si="5"/>
        <v>0.0303294509825929</v>
      </c>
    </row>
    <row r="19" spans="1:11">
      <c r="A19" s="1" t="s">
        <v>71</v>
      </c>
      <c r="B19">
        <v>30.8571428571429</v>
      </c>
      <c r="C19" s="1">
        <v>60</v>
      </c>
      <c r="D19" s="1">
        <v>100</v>
      </c>
      <c r="E19" s="1">
        <v>1.14</v>
      </c>
      <c r="F19" s="1">
        <v>190.4</v>
      </c>
      <c r="G19" s="1">
        <f t="shared" si="4"/>
        <v>11424</v>
      </c>
      <c r="H19" s="1">
        <f t="shared" si="7"/>
        <v>23290</v>
      </c>
      <c r="I19" s="1">
        <f t="shared" si="6"/>
        <v>388.166666666667</v>
      </c>
      <c r="J19" s="1">
        <f>L$2*E19*D19/1000/M$2</f>
        <v>114000</v>
      </c>
      <c r="K19" s="1">
        <f t="shared" si="5"/>
        <v>0.0303294509825929</v>
      </c>
    </row>
    <row r="20" spans="1:11">
      <c r="A20" s="1" t="s">
        <v>72</v>
      </c>
      <c r="B20">
        <v>8.57142857142857</v>
      </c>
      <c r="C20" s="1">
        <v>60</v>
      </c>
      <c r="D20" s="1">
        <v>65</v>
      </c>
      <c r="E20" s="1">
        <v>0.66</v>
      </c>
      <c r="F20" s="1">
        <v>102.7</v>
      </c>
      <c r="G20" s="1">
        <f t="shared" si="4"/>
        <v>6162</v>
      </c>
      <c r="H20" s="1">
        <f t="shared" si="7"/>
        <v>20218</v>
      </c>
      <c r="I20" s="1">
        <f t="shared" si="6"/>
        <v>336.966666666667</v>
      </c>
      <c r="J20" s="1">
        <f>L$2*E20*D20/1000/M$2</f>
        <v>42900</v>
      </c>
      <c r="K20" s="1">
        <f t="shared" si="5"/>
        <v>0.0347051014322117</v>
      </c>
    </row>
    <row r="21" spans="1:11">
      <c r="A21" s="1" t="s">
        <v>73</v>
      </c>
      <c r="B21">
        <v>15.4285714285714</v>
      </c>
      <c r="C21" s="1">
        <v>60</v>
      </c>
      <c r="D21">
        <v>80</v>
      </c>
      <c r="E21" s="1">
        <v>0.82</v>
      </c>
      <c r="F21" s="1">
        <v>127.8</v>
      </c>
      <c r="G21" s="1">
        <f t="shared" si="4"/>
        <v>7668</v>
      </c>
      <c r="H21" s="1">
        <f t="shared" si="7"/>
        <v>17434</v>
      </c>
      <c r="I21" s="1">
        <f t="shared" si="6"/>
        <v>290.566666666667</v>
      </c>
      <c r="J21" s="1">
        <f>L$2*E21*D21/1000/M$2</f>
        <v>65600</v>
      </c>
      <c r="K21" s="1">
        <f>1/(1.14+2*LOG10((E21/0.5)))^2</f>
        <v>0.405857421440033</v>
      </c>
    </row>
    <row r="22" spans="1:11">
      <c r="A22" s="1" t="s">
        <v>74</v>
      </c>
      <c r="B22">
        <v>23.1428571428571</v>
      </c>
      <c r="C22" s="1">
        <v>60</v>
      </c>
      <c r="D22" s="1">
        <v>100</v>
      </c>
      <c r="E22" s="1">
        <v>0.85</v>
      </c>
      <c r="F22" s="1">
        <v>104.8</v>
      </c>
      <c r="G22" s="1">
        <f t="shared" si="4"/>
        <v>6288</v>
      </c>
      <c r="H22" s="1">
        <f t="shared" si="7"/>
        <v>15376</v>
      </c>
      <c r="I22" s="1">
        <f t="shared" si="6"/>
        <v>256.266666666667</v>
      </c>
      <c r="J22" s="1">
        <f>L$2*E22*D22/1000/M$2</f>
        <v>85000</v>
      </c>
      <c r="K22" s="1">
        <f t="shared" si="5"/>
        <v>0.0303294509825929</v>
      </c>
    </row>
    <row r="23" spans="1:11">
      <c r="A23" s="1" t="s">
        <v>75</v>
      </c>
      <c r="B23">
        <v>32.1428571428571</v>
      </c>
      <c r="C23" s="1">
        <v>40</v>
      </c>
      <c r="D23" s="1">
        <v>125</v>
      </c>
      <c r="E23" s="1">
        <v>0.76</v>
      </c>
      <c r="F23" s="1">
        <v>62.2</v>
      </c>
      <c r="G23" s="1">
        <f t="shared" si="4"/>
        <v>2488</v>
      </c>
      <c r="H23" s="1">
        <f t="shared" si="7"/>
        <v>5296</v>
      </c>
      <c r="I23" s="1">
        <f t="shared" si="6"/>
        <v>132.4</v>
      </c>
      <c r="J23" s="1">
        <f>L$2*E23*D23/1000/M$2</f>
        <v>95000</v>
      </c>
      <c r="K23" s="1">
        <f t="shared" si="5"/>
        <v>0.0283811358286925</v>
      </c>
    </row>
    <row r="25" spans="1:11">
      <c r="A25" s="4" t="s">
        <v>76</v>
      </c>
      <c r="B25" s="1">
        <v>25.7142857142857</v>
      </c>
      <c r="C25" s="1">
        <f>H25/F25</f>
        <v>56.3380281690141</v>
      </c>
      <c r="D25" s="1">
        <v>80</v>
      </c>
      <c r="E25" s="1">
        <v>1.37</v>
      </c>
      <c r="F25" s="1">
        <v>355</v>
      </c>
      <c r="G25" s="1">
        <f>C25*F25</f>
        <v>20000</v>
      </c>
      <c r="H25" s="1">
        <v>20000</v>
      </c>
      <c r="I25" s="1">
        <v>100</v>
      </c>
      <c r="J25" s="1">
        <f>L$2*E25*D25/1000/M$2</f>
        <v>109600</v>
      </c>
      <c r="K25" s="1">
        <f>1/(1.14+2*LOG10((D25/0.5)))^2</f>
        <v>0.032485497883736</v>
      </c>
    </row>
    <row r="26" spans="1:11">
      <c r="A26" s="4" t="s">
        <v>77</v>
      </c>
      <c r="B26" s="1">
        <v>18.5142857142857</v>
      </c>
      <c r="C26" s="1">
        <f t="shared" ref="C26:C34" si="8">H26/F26</f>
        <v>97.5609756097561</v>
      </c>
      <c r="D26" s="1">
        <v>80</v>
      </c>
      <c r="E26" s="1">
        <v>1.04</v>
      </c>
      <c r="F26" s="1">
        <v>205</v>
      </c>
      <c r="G26" s="1">
        <f>C26*F26</f>
        <v>20000</v>
      </c>
      <c r="H26" s="1">
        <v>20000</v>
      </c>
      <c r="I26" s="1">
        <v>100</v>
      </c>
      <c r="J26" s="1">
        <f>L$2*E26*D25/1000/M$2</f>
        <v>83200</v>
      </c>
      <c r="K26" s="1">
        <f>1/(1.14+2*LOG10((D25/0.5)))^2</f>
        <v>0.032485497883736</v>
      </c>
    </row>
    <row r="27" spans="1:11">
      <c r="A27" s="4" t="s">
        <v>78</v>
      </c>
      <c r="B27" s="1">
        <v>20.5714285714286</v>
      </c>
      <c r="C27" s="1">
        <f t="shared" si="8"/>
        <v>79.8403193612775</v>
      </c>
      <c r="D27" s="1">
        <v>80</v>
      </c>
      <c r="E27" s="1">
        <v>1.15</v>
      </c>
      <c r="F27" s="1">
        <v>250.5</v>
      </c>
      <c r="G27" s="1">
        <f t="shared" ref="G27:G34" si="9">C27*F27</f>
        <v>20000</v>
      </c>
      <c r="H27" s="1">
        <v>20000</v>
      </c>
      <c r="I27" s="1">
        <v>100</v>
      </c>
      <c r="J27" s="1">
        <f>L$2*E27*D27/1000/M$2</f>
        <v>92000</v>
      </c>
      <c r="K27" s="1">
        <f>1/(1.14+2*LOG10((D27/0.5)))^2</f>
        <v>0.032485497883736</v>
      </c>
    </row>
    <row r="28" spans="1:11">
      <c r="A28" s="4" t="s">
        <v>79</v>
      </c>
      <c r="B28" s="1">
        <v>37.7142857142857</v>
      </c>
      <c r="C28" s="1">
        <f t="shared" si="8"/>
        <v>69.9056274030059</v>
      </c>
      <c r="D28" s="1">
        <v>100</v>
      </c>
      <c r="E28" s="1">
        <v>1.4</v>
      </c>
      <c r="F28" s="1">
        <v>286.1</v>
      </c>
      <c r="G28" s="1">
        <f t="shared" si="9"/>
        <v>20000</v>
      </c>
      <c r="H28" s="1">
        <v>20000</v>
      </c>
      <c r="I28" s="1">
        <v>100</v>
      </c>
      <c r="J28" s="1">
        <f>L$2*E28*D27/1000/M$2</f>
        <v>112000</v>
      </c>
      <c r="K28" s="1">
        <f>1/(1.14+2*LOG10((D27/0.5)))^2</f>
        <v>0.032485497883736</v>
      </c>
    </row>
    <row r="29" spans="1:11">
      <c r="A29" s="5" t="s">
        <v>80</v>
      </c>
      <c r="B29">
        <v>30.8571428571429</v>
      </c>
      <c r="C29" s="1">
        <f t="shared" si="8"/>
        <v>38.7747188832881</v>
      </c>
      <c r="D29" s="1">
        <v>80</v>
      </c>
      <c r="E29">
        <v>1.7</v>
      </c>
      <c r="F29">
        <v>515.8</v>
      </c>
      <c r="G29" s="1">
        <f t="shared" si="9"/>
        <v>20000</v>
      </c>
      <c r="H29" s="1">
        <v>20000</v>
      </c>
      <c r="I29" s="1">
        <v>100</v>
      </c>
      <c r="J29" s="1">
        <f>L$2*E29*D29/1000/M$2</f>
        <v>136000</v>
      </c>
      <c r="K29" s="1">
        <f>1/(1.14+2*LOG10((D29/0.5)))^2</f>
        <v>0.032485497883736</v>
      </c>
    </row>
    <row r="30" spans="1:11">
      <c r="A30" s="5" t="s">
        <v>81</v>
      </c>
      <c r="B30">
        <v>8.57142857142857</v>
      </c>
      <c r="C30" s="1">
        <f t="shared" si="8"/>
        <v>486.61800486618</v>
      </c>
      <c r="D30" s="1">
        <v>80</v>
      </c>
      <c r="E30">
        <v>0.47</v>
      </c>
      <c r="F30">
        <v>41.1</v>
      </c>
      <c r="G30" s="1">
        <f t="shared" si="9"/>
        <v>20000</v>
      </c>
      <c r="H30" s="1">
        <v>20000</v>
      </c>
      <c r="I30" s="1">
        <v>100</v>
      </c>
      <c r="J30" s="1">
        <f>L$2*E30*D29/1000/M$2</f>
        <v>37600</v>
      </c>
      <c r="K30" s="1">
        <f>1/(1.14+2*LOG10((D29/0.5)))^2</f>
        <v>0.032485497883736</v>
      </c>
    </row>
    <row r="31" spans="1:11">
      <c r="A31" s="5" t="s">
        <v>82</v>
      </c>
      <c r="B31">
        <v>15.4285714285714</v>
      </c>
      <c r="C31" s="1">
        <f t="shared" si="8"/>
        <v>156.494522691706</v>
      </c>
      <c r="D31" s="1">
        <v>80</v>
      </c>
      <c r="E31" s="1">
        <v>0.82</v>
      </c>
      <c r="F31" s="1">
        <v>127.8</v>
      </c>
      <c r="G31" s="1">
        <f t="shared" si="9"/>
        <v>20000</v>
      </c>
      <c r="H31" s="1">
        <v>20000</v>
      </c>
      <c r="I31" s="1">
        <v>100</v>
      </c>
      <c r="J31" s="1">
        <f>L$2*E31*D31/1000/M$2</f>
        <v>65600</v>
      </c>
      <c r="K31" s="1">
        <f>1/(1.14+2*LOG10((D31/0.5)))^2</f>
        <v>0.032485497883736</v>
      </c>
    </row>
    <row r="32" spans="1:11">
      <c r="A32" s="5" t="s">
        <v>83</v>
      </c>
      <c r="B32">
        <v>23.1428571428571</v>
      </c>
      <c r="C32" s="1">
        <f t="shared" si="8"/>
        <v>66.577896138482</v>
      </c>
      <c r="D32" s="1">
        <v>80</v>
      </c>
      <c r="E32">
        <v>1.26</v>
      </c>
      <c r="F32">
        <v>300.4</v>
      </c>
      <c r="G32" s="1">
        <f t="shared" si="9"/>
        <v>20000</v>
      </c>
      <c r="H32" s="1">
        <v>20000</v>
      </c>
      <c r="I32" s="1">
        <v>100</v>
      </c>
      <c r="J32" s="1">
        <f>L$2*E32*D31/1000/M$2</f>
        <v>100800</v>
      </c>
      <c r="K32" s="1">
        <f>1/(1.14+2*LOG10((D31/0.5)))^2</f>
        <v>0.032485497883736</v>
      </c>
    </row>
    <row r="33" spans="1:11">
      <c r="A33" s="5" t="s">
        <v>84</v>
      </c>
      <c r="B33">
        <v>32.1428571428571</v>
      </c>
      <c r="C33" s="1">
        <f t="shared" si="8"/>
        <v>34.3938091143594</v>
      </c>
      <c r="D33" s="1">
        <v>80</v>
      </c>
      <c r="E33">
        <v>1.76</v>
      </c>
      <c r="F33">
        <v>581.5</v>
      </c>
      <c r="G33" s="1">
        <f t="shared" si="9"/>
        <v>20000</v>
      </c>
      <c r="H33" s="1">
        <v>20000</v>
      </c>
      <c r="I33" s="1">
        <v>100</v>
      </c>
      <c r="J33" s="1">
        <f>L$2*E33*D33/1000/M$2</f>
        <v>140800</v>
      </c>
      <c r="K33" s="1">
        <f>1/(1.14+2*LOG10((D33/0.5)))^2</f>
        <v>0.032485497883736</v>
      </c>
    </row>
    <row r="34" spans="1:11">
      <c r="A34" s="5" t="s">
        <v>85</v>
      </c>
      <c r="B34">
        <v>33.4285714285714</v>
      </c>
      <c r="C34" s="1">
        <f t="shared" si="8"/>
        <v>32.3362974939369</v>
      </c>
      <c r="D34" s="1">
        <v>80</v>
      </c>
      <c r="E34">
        <v>1.81</v>
      </c>
      <c r="F34">
        <v>618.5</v>
      </c>
      <c r="G34" s="1">
        <f t="shared" si="9"/>
        <v>20000</v>
      </c>
      <c r="H34" s="1">
        <v>20000</v>
      </c>
      <c r="I34" s="1">
        <v>100</v>
      </c>
      <c r="J34" s="1">
        <f>L$2*E34*D33/1000/M$2</f>
        <v>144800</v>
      </c>
      <c r="K34" s="1">
        <f>1/(1.14+2*LOG10((D33/0.5)))^2</f>
        <v>0.032485497883736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2026-01-07T09:30:00Z</dcterms:created>
  <dcterms:modified xsi:type="dcterms:W3CDTF">2026-01-23T22:59:31Z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