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<sst xmlns="http://schemas.openxmlformats.org/spreadsheetml/2006/main" count="137" uniqueCount="70">
  <si>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</si>
  <si>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</si>
  <si>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</si>
  <si>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</si>
  <si>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</si>
  <si>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</si>
  <si>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</si>
  <si>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</si>
  <si>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</si>
  <si>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</si>
  <si>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</si>
  <si>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</si>
  <si>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</si>
  <si>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</si>
  <si>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</si>
  <si>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</si>
  <si>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</si>
  <si>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</si>
  <si>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</si>
  <si>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</si>
  <si>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</si>
  <si>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</si>
  <si>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</si>
  <si>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</si>
  <si>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</si>
  <si>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</si>
  <si>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</si>
  <si>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</si>
  <si>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</si>
  <si>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</si>
  <si>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</si>
  <si>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</si>
  <si>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</si>
  <si>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</si>
  <si>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</si>
  <si>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</si>
  <si>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l_random</t>
  </si>
  <si>
    <t>w_random</t>
  </si>
  <si>
    <t>floor_random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</si>
  <si>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</si>
  <si>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</si>
  <si>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</si>
  <si>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</si>
  <si>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</si>
  <si>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</si>
  <si>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</si>
  <si>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</si>
  <si>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</si>
  <si>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</si>
  <si>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</si>
  <si>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</si>
  <si>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</si>
  <si>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</si>
  <si>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</si>
  <si>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</si>
  <si>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</si>
  <si>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</si>
  <si>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</si>
  <si>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4,10</t>
  </si>
  <si>
    <t>支路</t>
  </si>
  <si>
    <t>3,8</t>
  </si>
  <si>
    <t>4,9</t>
  </si>
  <si>
    <t>2,5</t>
  </si>
  <si>
    <t>5,6</t>
  </si>
  <si>
    <t>5,7</t>
  </si>
  <si>
    <t>6,16</t>
  </si>
  <si>
    <t>7,17</t>
  </si>
  <si>
    <t>8,18</t>
  </si>
  <si>
    <t>9,19</t>
  </si>
  <si>
    <t>10,20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</si>
</sst>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7" fillId="0" borderId="19" applyNumberFormat="0" applyFill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21" applyNumberFormat="0" applyAlignment="0" applyProtection="0">
      <alignment vertical="center"/>
    </xf>
    <xf numFmtId="0" fontId="10" fillId="10" borderId="22" applyNumberFormat="0" applyAlignment="0" applyProtection="0">
      <alignment vertical="center"/>
    </xf>
    <xf numFmtId="0" fontId="11" fillId="10" borderId="21" applyNumberFormat="0" applyAlignment="0" applyProtection="0">
      <alignment vertical="center"/>
    </xf>
    <xf numFmtId="0" fontId="12" fillId="11" borderId="23" applyNumberFormat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58" fontId="0" fillId="0" borderId="0" xfId="0" applyNumberFormat="1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D22" sqref="D2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s="8" t="s">
        <v>10</v>
      </c>
      <c r="G12" t="s">
        <v>11</v>
      </c>
    </row>
    <row r="13" spans="1:7">
      <c r="A13">
        <v>12</v>
      </c>
      <c r="B13" t="s">
        <v>9</v>
      </c>
      <c r="F13" s="8" t="s">
        <v>10</v>
      </c>
    </row>
    <row r="14" spans="1:7">
      <c r="A14">
        <v>13</v>
      </c>
      <c r="B14" t="s">
        <v>9</v>
      </c>
      <c r="F14" s="8" t="s">
        <v>10</v>
      </c>
    </row>
    <row r="15" spans="1:7">
      <c r="A15">
        <v>14</v>
      </c>
      <c r="B15" t="s">
        <v>9</v>
      </c>
      <c r="F15" s="8" t="s">
        <v>10</v>
      </c>
    </row>
    <row r="16" spans="1:7">
      <c r="A16">
        <v>15</v>
      </c>
      <c r="B16" t="s">
        <v>9</v>
      </c>
      <c r="F16" s="8" t="s">
        <v>10</v>
      </c>
    </row>
    <row r="17" spans="1:6">
      <c r="A17">
        <v>16</v>
      </c>
      <c r="B17" t="s">
        <v>9</v>
      </c>
      <c r="F17" s="8" t="s">
        <v>10</v>
      </c>
    </row>
    <row r="18" spans="1:6">
      <c r="A18">
        <v>17</v>
      </c>
      <c r="B18" t="s">
        <v>9</v>
      </c>
      <c r="F18" s="8" t="s">
        <v>10</v>
      </c>
    </row>
    <row r="19" spans="1:6">
      <c r="A19">
        <v>18</v>
      </c>
      <c r="B19" t="s">
        <v>9</v>
      </c>
      <c r="F19" s="8" t="s">
        <v>10</v>
      </c>
    </row>
    <row r="20" spans="1:6">
      <c r="A20">
        <v>19</v>
      </c>
      <c r="B20" t="s">
        <v>9</v>
      </c>
      <c r="F20" s="8" t="s">
        <v>10</v>
      </c>
    </row>
    <row r="21" spans="1:6">
      <c r="A21">
        <v>20</v>
      </c>
      <c r="B21" t="s">
        <v>9</v>
      </c>
      <c r="F21" s="8" t="s">
        <v>10</v>
      </c>
    </row>
    <row r="22" spans="1:6">
      <c r="F22" s="8"/>
    </row>
    <row r="23" spans="1:6">
      <c r="F23" s="8"/>
    </row>
    <row r="24" spans="1:6">
      <c r="F24" s="8"/>
    </row>
    <row r="25" spans="1:6">
      <c r="F25" s="8"/>
    </row>
    <row r="26" spans="1:6">
      <c r="F26" s="8"/>
    </row>
    <row r="27" spans="1:6">
      <c r="F27" s="8"/>
    </row>
    <row r="28" spans="1:6">
      <c r="F28" s="8"/>
    </row>
    <row r="29" spans="1:6">
      <c r="F29" s="8"/>
    </row>
    <row r="30" spans="1:6">
      <c r="F30" s="8"/>
    </row>
    <row r="31" spans="1:6">
      <c r="F31" s="8"/>
    </row>
    <row r="32" spans="1:6">
      <c r="F32" s="8"/>
    </row>
    <row r="33" spans="6:6">
      <c r="F33" s="8"/>
    </row>
    <row r="34" spans="6:6">
      <c r="F34" s="8"/>
    </row>
    <row r="35" spans="6:6">
      <c r="F35" s="8"/>
    </row>
    <row r="36" spans="6:6">
      <c r="F36" s="8"/>
    </row>
    <row r="37" spans="6:6">
      <c r="F37" s="8"/>
    </row>
    <row r="38" spans="6:6">
      <c r="F38" s="8"/>
    </row>
    <row r="39" spans="6:6">
      <c r="F39" s="8"/>
    </row>
    <row r="40" spans="6:6">
      <c r="F40" s="8"/>
    </row>
    <row r="41" spans="6:6">
      <c r="F4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72" zoomScaleNormal="72" workbookViewId="0">
      <selection activeCell="D2" sqref="D2:D1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24">
        <v>1</v>
      </c>
      <c r="B2">
        <v>1</v>
      </c>
      <c r="C2">
        <v>2</v>
      </c>
      <c r="D2" s="17">
        <v>81</v>
      </c>
      <c r="E2">
        <f>管径设计!D3</f>
        <v>250</v>
      </c>
      <c r="F2">
        <f>1/(1.14+2*LOG10((E2/0.5)))^2</f>
        <v>0.0233947353976847</v>
      </c>
      <c r="G2">
        <f>3.14*E2/1000/(0.03/0.023+0.01/0.5+1/1500+1/100)</f>
        <v>0.588008597854879</v>
      </c>
      <c r="J2" t="s">
        <v>8</v>
      </c>
      <c r="K2">
        <f ca="1">RANDBETWEEN(30,100)</f>
        <v>94</v>
      </c>
    </row>
    <row r="3" spans="1:11">
      <c r="A3" s="24">
        <v>2</v>
      </c>
      <c r="B3">
        <v>2</v>
      </c>
      <c r="C3">
        <v>3</v>
      </c>
      <c r="D3" s="20">
        <v>75</v>
      </c>
      <c r="E3">
        <f>管径设计!D4</f>
        <v>150</v>
      </c>
      <c r="F3">
        <f t="shared" ref="F3:F24" si="0">1/(1.14+2*LOG10((E3/0.5)))^2</f>
        <v>0.0269252990527845</v>
      </c>
      <c r="G3">
        <f t="shared" ref="G3:G24" si="1">3.14*E3/1000/(0.03/0.023+0.01/0.5+1/1500+1/100)</f>
        <v>0.352805158712927</v>
      </c>
      <c r="J3" t="s">
        <v>8</v>
      </c>
      <c r="K3">
        <f ca="1" t="shared" ref="K3:K10" si="2">RANDBETWEEN(30,100)</f>
        <v>30</v>
      </c>
    </row>
    <row r="4" spans="1:11">
      <c r="A4" s="24">
        <v>3</v>
      </c>
      <c r="B4">
        <v>3</v>
      </c>
      <c r="C4">
        <v>4</v>
      </c>
      <c r="D4" s="20">
        <v>65</v>
      </c>
      <c r="E4">
        <f>管径设计!D5</f>
        <v>150</v>
      </c>
      <c r="F4">
        <f t="shared" si="0"/>
        <v>0.0269252990527845</v>
      </c>
      <c r="G4">
        <f t="shared" si="1"/>
        <v>0.352805158712927</v>
      </c>
      <c r="J4" t="s">
        <v>8</v>
      </c>
      <c r="K4">
        <f ca="1" t="shared" si="2"/>
        <v>88</v>
      </c>
    </row>
    <row r="5" spans="1:11">
      <c r="A5" s="24">
        <v>4</v>
      </c>
      <c r="B5">
        <v>4</v>
      </c>
      <c r="C5">
        <v>10</v>
      </c>
      <c r="D5" s="20">
        <v>97</v>
      </c>
      <c r="E5">
        <f>管径设计!D6</f>
        <v>150</v>
      </c>
      <c r="F5">
        <f t="shared" si="0"/>
        <v>0.0269252990527845</v>
      </c>
      <c r="G5">
        <f t="shared" si="1"/>
        <v>0.352805158712927</v>
      </c>
      <c r="H5">
        <v>5</v>
      </c>
      <c r="J5" t="s">
        <v>8</v>
      </c>
      <c r="K5">
        <f ca="1" t="shared" si="2"/>
        <v>86</v>
      </c>
    </row>
    <row r="6" spans="1:11">
      <c r="A6" s="24">
        <v>5</v>
      </c>
      <c r="B6">
        <v>3</v>
      </c>
      <c r="C6">
        <v>8</v>
      </c>
      <c r="D6" s="20">
        <v>77</v>
      </c>
      <c r="E6">
        <f>管径设计!D10</f>
        <v>100</v>
      </c>
      <c r="F6">
        <f t="shared" si="0"/>
        <v>0.0303294509825929</v>
      </c>
      <c r="G6">
        <f t="shared" si="1"/>
        <v>0.235203439141951</v>
      </c>
      <c r="H6">
        <v>3</v>
      </c>
      <c r="J6" t="s">
        <v>8</v>
      </c>
      <c r="K6">
        <f ca="1" t="shared" si="2"/>
        <v>35</v>
      </c>
    </row>
    <row r="7" spans="1:11">
      <c r="A7" s="24">
        <v>6</v>
      </c>
      <c r="B7">
        <v>4</v>
      </c>
      <c r="C7">
        <v>9</v>
      </c>
      <c r="D7" s="20">
        <v>37</v>
      </c>
      <c r="E7">
        <f>管径设计!D11</f>
        <v>125</v>
      </c>
      <c r="F7">
        <f t="shared" si="0"/>
        <v>0.0283811358286925</v>
      </c>
      <c r="G7">
        <f t="shared" si="1"/>
        <v>0.294004298927439</v>
      </c>
      <c r="H7">
        <v>4</v>
      </c>
      <c r="J7" t="s">
        <v>8</v>
      </c>
      <c r="K7">
        <f ca="1" t="shared" si="2"/>
        <v>78</v>
      </c>
    </row>
    <row r="8" spans="1:11">
      <c r="A8" s="24">
        <v>7</v>
      </c>
      <c r="B8">
        <v>2</v>
      </c>
      <c r="C8">
        <v>5</v>
      </c>
      <c r="D8" s="20">
        <v>53</v>
      </c>
      <c r="E8">
        <f>管径设计!D12</f>
        <v>200</v>
      </c>
      <c r="F8">
        <f t="shared" si="0"/>
        <v>0.0248460425197335</v>
      </c>
      <c r="G8">
        <f t="shared" si="1"/>
        <v>0.470406878283903</v>
      </c>
      <c r="J8" t="s">
        <v>8</v>
      </c>
      <c r="K8">
        <f ca="1" t="shared" si="2"/>
        <v>89</v>
      </c>
    </row>
    <row r="9" spans="1:11">
      <c r="A9" s="24">
        <v>8</v>
      </c>
      <c r="B9">
        <v>5</v>
      </c>
      <c r="C9">
        <v>6</v>
      </c>
      <c r="D9" s="20">
        <v>58</v>
      </c>
      <c r="E9">
        <f>管径设计!D13</f>
        <v>125</v>
      </c>
      <c r="F9">
        <f t="shared" si="0"/>
        <v>0.0283811358286925</v>
      </c>
      <c r="G9">
        <f t="shared" si="1"/>
        <v>0.294004298927439</v>
      </c>
      <c r="H9">
        <v>1</v>
      </c>
      <c r="J9" t="s">
        <v>8</v>
      </c>
      <c r="K9">
        <f ca="1" t="shared" si="2"/>
        <v>44</v>
      </c>
    </row>
    <row r="10" spans="1:11">
      <c r="A10" s="24">
        <v>9</v>
      </c>
      <c r="B10">
        <v>5</v>
      </c>
      <c r="C10">
        <v>7</v>
      </c>
      <c r="D10" s="23">
        <v>31</v>
      </c>
      <c r="E10">
        <f>管径设计!D14</f>
        <v>125</v>
      </c>
      <c r="F10">
        <f t="shared" si="0"/>
        <v>0.0283811358286925</v>
      </c>
      <c r="G10">
        <f t="shared" si="1"/>
        <v>0.294004298927439</v>
      </c>
      <c r="H10">
        <v>2</v>
      </c>
      <c r="J10" t="s">
        <v>8</v>
      </c>
      <c r="K10">
        <f ca="1" t="shared" si="2"/>
        <v>96</v>
      </c>
    </row>
    <row r="11" spans="1:11">
      <c r="A11" s="25">
        <v>10</v>
      </c>
      <c r="B11">
        <f>C2+10</f>
        <v>12</v>
      </c>
      <c r="C11">
        <f>B2+10</f>
        <v>11</v>
      </c>
      <c r="D11">
        <f>D2</f>
        <v>81</v>
      </c>
      <c r="E11">
        <f>E2</f>
        <v>250</v>
      </c>
      <c r="F11">
        <f t="shared" si="0"/>
        <v>0.0233947353976847</v>
      </c>
      <c r="G11">
        <f t="shared" si="1"/>
        <v>0.588008597854879</v>
      </c>
      <c r="J11" s="8" t="s">
        <v>10</v>
      </c>
    </row>
    <row r="12" spans="1:11">
      <c r="A12" s="25">
        <v>11</v>
      </c>
      <c r="B12">
        <f t="shared" ref="B12:B19" si="3">C3+10</f>
        <v>13</v>
      </c>
      <c r="C12">
        <f t="shared" ref="C12:C19" si="4">B3+10</f>
        <v>12</v>
      </c>
      <c r="D12">
        <f t="shared" ref="D12:E19" si="5">D3</f>
        <v>75</v>
      </c>
      <c r="E12">
        <f t="shared" si="5"/>
        <v>150</v>
      </c>
      <c r="F12">
        <f t="shared" si="0"/>
        <v>0.0269252990527845</v>
      </c>
      <c r="G12">
        <f t="shared" si="1"/>
        <v>0.352805158712927</v>
      </c>
      <c r="J12" s="8" t="s">
        <v>10</v>
      </c>
    </row>
    <row r="13" spans="1:11">
      <c r="A13" s="25">
        <v>12</v>
      </c>
      <c r="B13">
        <f t="shared" si="3"/>
        <v>14</v>
      </c>
      <c r="C13">
        <f t="shared" si="4"/>
        <v>13</v>
      </c>
      <c r="D13">
        <f t="shared" si="5"/>
        <v>65</v>
      </c>
      <c r="E13">
        <f t="shared" si="5"/>
        <v>150</v>
      </c>
      <c r="F13">
        <f t="shared" si="0"/>
        <v>0.0269252990527845</v>
      </c>
      <c r="G13">
        <f t="shared" si="1"/>
        <v>0.352805158712927</v>
      </c>
      <c r="J13" s="8" t="s">
        <v>10</v>
      </c>
    </row>
    <row r="14" spans="1:11">
      <c r="A14" s="25">
        <v>13</v>
      </c>
      <c r="B14">
        <f t="shared" si="3"/>
        <v>20</v>
      </c>
      <c r="C14">
        <f t="shared" si="4"/>
        <v>14</v>
      </c>
      <c r="D14">
        <f t="shared" si="5"/>
        <v>97</v>
      </c>
      <c r="E14">
        <f t="shared" si="5"/>
        <v>150</v>
      </c>
      <c r="F14">
        <f t="shared" si="0"/>
        <v>0.0269252990527845</v>
      </c>
      <c r="G14">
        <f t="shared" si="1"/>
        <v>0.352805158712927</v>
      </c>
      <c r="J14" s="8" t="s">
        <v>10</v>
      </c>
    </row>
    <row r="15" spans="1:11">
      <c r="A15" s="25">
        <v>14</v>
      </c>
      <c r="B15">
        <f t="shared" si="3"/>
        <v>18</v>
      </c>
      <c r="C15">
        <f t="shared" si="4"/>
        <v>13</v>
      </c>
      <c r="D15">
        <f t="shared" si="5"/>
        <v>77</v>
      </c>
      <c r="E15">
        <f t="shared" si="5"/>
        <v>100</v>
      </c>
      <c r="F15">
        <f t="shared" si="0"/>
        <v>0.0303294509825929</v>
      </c>
      <c r="G15">
        <f t="shared" si="1"/>
        <v>0.235203439141951</v>
      </c>
      <c r="J15" s="8" t="s">
        <v>10</v>
      </c>
    </row>
    <row r="16" spans="1:11">
      <c r="A16" s="25">
        <v>15</v>
      </c>
      <c r="B16">
        <f t="shared" si="3"/>
        <v>19</v>
      </c>
      <c r="C16">
        <f t="shared" si="4"/>
        <v>14</v>
      </c>
      <c r="D16">
        <f t="shared" si="5"/>
        <v>37</v>
      </c>
      <c r="E16">
        <f t="shared" si="5"/>
        <v>125</v>
      </c>
      <c r="F16">
        <f t="shared" si="0"/>
        <v>0.0283811358286925</v>
      </c>
      <c r="G16">
        <f t="shared" si="1"/>
        <v>0.294004298927439</v>
      </c>
      <c r="J16" s="8" t="s">
        <v>10</v>
      </c>
    </row>
    <row r="17" spans="1:10">
      <c r="A17" s="25">
        <v>16</v>
      </c>
      <c r="B17">
        <f t="shared" si="3"/>
        <v>15</v>
      </c>
      <c r="C17">
        <f t="shared" si="4"/>
        <v>12</v>
      </c>
      <c r="D17">
        <f t="shared" si="5"/>
        <v>53</v>
      </c>
      <c r="E17">
        <f t="shared" si="5"/>
        <v>200</v>
      </c>
      <c r="F17">
        <f t="shared" si="0"/>
        <v>0.0248460425197335</v>
      </c>
      <c r="G17">
        <f t="shared" si="1"/>
        <v>0.470406878283903</v>
      </c>
      <c r="J17" s="8" t="s">
        <v>10</v>
      </c>
    </row>
    <row r="18" spans="1:10">
      <c r="A18" s="25">
        <v>17</v>
      </c>
      <c r="B18">
        <f t="shared" si="3"/>
        <v>16</v>
      </c>
      <c r="C18">
        <f t="shared" si="4"/>
        <v>15</v>
      </c>
      <c r="D18">
        <f t="shared" si="5"/>
        <v>58</v>
      </c>
      <c r="E18">
        <f t="shared" si="5"/>
        <v>125</v>
      </c>
      <c r="F18">
        <f t="shared" si="0"/>
        <v>0.0283811358286925</v>
      </c>
      <c r="G18">
        <f t="shared" si="1"/>
        <v>0.294004298927439</v>
      </c>
      <c r="J18" s="8" t="s">
        <v>10</v>
      </c>
    </row>
    <row r="19" spans="1:10">
      <c r="A19" s="25">
        <v>18</v>
      </c>
      <c r="B19">
        <f t="shared" si="3"/>
        <v>17</v>
      </c>
      <c r="C19">
        <f t="shared" si="4"/>
        <v>15</v>
      </c>
      <c r="D19">
        <f t="shared" si="5"/>
        <v>31</v>
      </c>
      <c r="E19">
        <f t="shared" si="5"/>
        <v>125</v>
      </c>
      <c r="F19">
        <f t="shared" si="0"/>
        <v>0.0283811358286925</v>
      </c>
      <c r="G19">
        <f t="shared" si="1"/>
        <v>0.294004298927439</v>
      </c>
      <c r="J19" s="8" t="s">
        <v>10</v>
      </c>
    </row>
    <row r="20" spans="1:10">
      <c r="A20">
        <v>19</v>
      </c>
      <c r="B20">
        <v>6</v>
      </c>
      <c r="C20">
        <f>B20+10</f>
        <v>16</v>
      </c>
      <c r="D20">
        <f>管径设计!C16</f>
        <v>97.8952520802741</v>
      </c>
      <c r="E20">
        <f>管径设计!D16</f>
        <v>125</v>
      </c>
      <c r="F20">
        <f t="shared" si="0"/>
        <v>0.0283811358286925</v>
      </c>
      <c r="G20">
        <f t="shared" si="1"/>
        <v>0.294004298927439</v>
      </c>
      <c r="J20" s="8" t="s">
        <v>21</v>
      </c>
    </row>
    <row r="21" spans="1:10">
      <c r="A21">
        <v>20</v>
      </c>
      <c r="B21">
        <v>7</v>
      </c>
      <c r="C21">
        <f t="shared" ref="C21:C24" si="6">B21+10</f>
        <v>17</v>
      </c>
      <c r="D21">
        <f>管径设计!C17</f>
        <v>112.930547713156</v>
      </c>
      <c r="E21">
        <f>管径设计!D17</f>
        <v>125</v>
      </c>
      <c r="F21">
        <f t="shared" si="0"/>
        <v>0.0283811358286925</v>
      </c>
      <c r="G21">
        <f t="shared" si="1"/>
        <v>0.294004298927439</v>
      </c>
      <c r="J21" s="8" t="s">
        <v>21</v>
      </c>
    </row>
    <row r="22" spans="1:10">
      <c r="A22">
        <v>21</v>
      </c>
      <c r="B22">
        <v>8</v>
      </c>
      <c r="C22">
        <f t="shared" si="6"/>
        <v>18</v>
      </c>
      <c r="D22">
        <f>管径设计!C18</f>
        <v>252.206809583859</v>
      </c>
      <c r="E22">
        <f>管径设计!D18</f>
        <v>100</v>
      </c>
      <c r="F22">
        <f t="shared" si="0"/>
        <v>0.0303294509825929</v>
      </c>
      <c r="G22">
        <f t="shared" si="1"/>
        <v>0.235203439141951</v>
      </c>
      <c r="J22" s="8" t="s">
        <v>21</v>
      </c>
    </row>
    <row r="23" spans="1:10">
      <c r="A23">
        <v>22</v>
      </c>
      <c r="B23">
        <v>9</v>
      </c>
      <c r="C23">
        <f t="shared" si="6"/>
        <v>19</v>
      </c>
      <c r="D23">
        <f>管径设计!C19</f>
        <v>240.384615384615</v>
      </c>
      <c r="E23">
        <f>管径设计!D19</f>
        <v>125</v>
      </c>
      <c r="F23">
        <f t="shared" si="0"/>
        <v>0.0283811358286925</v>
      </c>
      <c r="G23">
        <f t="shared" si="1"/>
        <v>0.294004298927439</v>
      </c>
      <c r="J23" s="8" t="s">
        <v>21</v>
      </c>
    </row>
    <row r="24" spans="1:10">
      <c r="A24">
        <v>23</v>
      </c>
      <c r="B24">
        <v>10</v>
      </c>
      <c r="C24">
        <f t="shared" si="6"/>
        <v>20</v>
      </c>
      <c r="D24">
        <f>管径设计!C20</f>
        <v>540.540540540541</v>
      </c>
      <c r="E24">
        <f>管径设计!D20</f>
        <v>150</v>
      </c>
      <c r="F24">
        <f t="shared" si="0"/>
        <v>0.0269252990527845</v>
      </c>
      <c r="G24">
        <f t="shared" si="1"/>
        <v>0.352805158712927</v>
      </c>
      <c r="J2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6" sqref="B6"/>
    </sheetView>
  </sheetViews>
  <sheetFormatPr defaultColWidth="9.23076923076923" defaultRowHeight="16.8" outlineLevelRow="4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zoomScale="84" zoomScaleNormal="84" workbookViewId="0">
      <selection activeCell="I10" sqref="I10"/>
    </sheetView>
  </sheetViews>
  <sheetFormatPr defaultColWidth="9.23076923076923" defaultRowHeight="16.8" outlineLevelRow="5"/>
  <cols>
    <col min="8" max="8" width="14.7692307692308" customWidth="1"/>
    <col min="9" max="9" width="19.6923076923077" customWidth="1"/>
    <col min="10" max="12" width="12.9230769230769"/>
    <col min="15" max="15" width="15.7692307692308" customWidth="1"/>
  </cols>
  <sheetData>
    <row r="1" spans="1:15">
      <c r="A1" t="s">
        <v>0</v>
      </c>
      <c r="B1" t="s">
        <v>14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s="14" t="s">
        <v>32</v>
      </c>
      <c r="I1" t="s">
        <v>33</v>
      </c>
      <c r="J1" t="s">
        <v>34</v>
      </c>
      <c r="K1" t="s">
        <v>1</v>
      </c>
      <c r="L1" t="s">
        <v>35</v>
      </c>
      <c r="M1" s="8" t="s">
        <v>36</v>
      </c>
      <c r="N1" s="8" t="s">
        <v>37</v>
      </c>
      <c r="O1" s="8" t="s">
        <v>38</v>
      </c>
    </row>
    <row r="2" spans="1:15">
      <c r="A2">
        <v>1</v>
      </c>
      <c r="B2" s="15">
        <v>44</v>
      </c>
      <c r="C2" s="16">
        <v>24</v>
      </c>
      <c r="D2">
        <v>3</v>
      </c>
      <c r="E2" s="17">
        <v>13</v>
      </c>
      <c r="F2">
        <f>B2*C2*E2</f>
        <v>13728</v>
      </c>
      <c r="G2">
        <v>10</v>
      </c>
      <c r="H2">
        <f>F2*50</f>
        <v>686400</v>
      </c>
      <c r="I2">
        <f t="shared" ref="I2:I6" si="0">H2/1000/10/4.2*3.6</f>
        <v>58.8342857142857</v>
      </c>
      <c r="J2">
        <f>H2/(50-20)*1</f>
        <v>22880</v>
      </c>
      <c r="K2" t="s">
        <v>39</v>
      </c>
      <c r="L2">
        <f>SUM(I2:I6)</f>
        <v>189.698571428571</v>
      </c>
      <c r="M2">
        <f ca="1">RANDBETWEEN(25,45)</f>
        <v>40</v>
      </c>
      <c r="N2">
        <f ca="1">RANDBETWEEN(10,30)</f>
        <v>12</v>
      </c>
      <c r="O2">
        <f ca="1" t="shared" ref="O2:O5" si="1">RANDBETWEEN(4,15)</f>
        <v>7</v>
      </c>
    </row>
    <row r="3" spans="1:15">
      <c r="A3">
        <v>2</v>
      </c>
      <c r="B3" s="18">
        <v>35</v>
      </c>
      <c r="C3" s="19">
        <v>26</v>
      </c>
      <c r="D3">
        <v>3</v>
      </c>
      <c r="E3" s="20">
        <v>14</v>
      </c>
      <c r="F3">
        <f t="shared" ref="F3:F6" si="2">B3*C3*E3</f>
        <v>12740</v>
      </c>
      <c r="G3">
        <v>10</v>
      </c>
      <c r="H3">
        <f t="shared" ref="H3:H6" si="3">F3*50</f>
        <v>637000</v>
      </c>
      <c r="I3">
        <f t="shared" si="0"/>
        <v>54.6</v>
      </c>
      <c r="J3">
        <f>H3/(50-20)*1</f>
        <v>21233.3333333333</v>
      </c>
      <c r="K3" t="s">
        <v>39</v>
      </c>
      <c r="M3">
        <f ca="1" t="shared" ref="M3:M6" si="4">RANDBETWEEN(25,50)</f>
        <v>29</v>
      </c>
      <c r="N3">
        <f ca="1" t="shared" ref="N3:N6" si="5">RANDBETWEEN(10,30)</f>
        <v>12</v>
      </c>
      <c r="O3">
        <f ca="1" t="shared" si="1"/>
        <v>9</v>
      </c>
    </row>
    <row r="4" spans="1:15">
      <c r="A4">
        <v>3</v>
      </c>
      <c r="B4" s="18">
        <v>44</v>
      </c>
      <c r="C4" s="19">
        <v>22</v>
      </c>
      <c r="D4">
        <v>3</v>
      </c>
      <c r="E4" s="20">
        <v>5</v>
      </c>
      <c r="F4">
        <f t="shared" si="2"/>
        <v>4840</v>
      </c>
      <c r="G4">
        <v>10</v>
      </c>
      <c r="H4">
        <f t="shared" si="3"/>
        <v>242000</v>
      </c>
      <c r="I4">
        <f t="shared" si="0"/>
        <v>20.7428571428571</v>
      </c>
      <c r="J4">
        <f>H4/(50-20)*1</f>
        <v>8066.66666666667</v>
      </c>
      <c r="K4" t="s">
        <v>39</v>
      </c>
      <c r="M4">
        <f ca="1" t="shared" si="4"/>
        <v>29</v>
      </c>
      <c r="N4">
        <f ca="1" t="shared" si="5"/>
        <v>30</v>
      </c>
      <c r="O4">
        <f ca="1" t="shared" si="1"/>
        <v>7</v>
      </c>
    </row>
    <row r="5" spans="1:15">
      <c r="A5">
        <v>4</v>
      </c>
      <c r="B5" s="18">
        <v>44</v>
      </c>
      <c r="C5" s="19">
        <v>16</v>
      </c>
      <c r="D5">
        <v>3</v>
      </c>
      <c r="E5" s="20">
        <v>5</v>
      </c>
      <c r="F5">
        <f t="shared" si="2"/>
        <v>3520</v>
      </c>
      <c r="G5">
        <v>10</v>
      </c>
      <c r="H5">
        <f t="shared" si="3"/>
        <v>176000</v>
      </c>
      <c r="I5">
        <f t="shared" si="0"/>
        <v>15.0857142857143</v>
      </c>
      <c r="J5">
        <f>H5/(50-20)*1</f>
        <v>5866.66666666667</v>
      </c>
      <c r="K5" t="s">
        <v>39</v>
      </c>
      <c r="M5">
        <f ca="1" t="shared" si="4"/>
        <v>31</v>
      </c>
      <c r="N5">
        <f ca="1" t="shared" si="5"/>
        <v>29</v>
      </c>
      <c r="O5">
        <f ca="1" t="shared" si="1"/>
        <v>9</v>
      </c>
    </row>
    <row r="6" spans="1:15">
      <c r="A6">
        <v>5</v>
      </c>
      <c r="B6" s="21">
        <v>37</v>
      </c>
      <c r="C6" s="22">
        <v>17</v>
      </c>
      <c r="D6">
        <v>3</v>
      </c>
      <c r="E6" s="23">
        <v>15</v>
      </c>
      <c r="F6">
        <f t="shared" si="2"/>
        <v>9435</v>
      </c>
      <c r="G6">
        <v>10</v>
      </c>
      <c r="H6">
        <f t="shared" si="3"/>
        <v>471750</v>
      </c>
      <c r="I6">
        <f t="shared" si="0"/>
        <v>40.4357142857143</v>
      </c>
      <c r="J6">
        <f>H6/(50-20)*1</f>
        <v>15725</v>
      </c>
      <c r="K6" t="s">
        <v>39</v>
      </c>
      <c r="M6">
        <f ca="1" t="shared" si="4"/>
        <v>45</v>
      </c>
      <c r="N6">
        <f ca="1" t="shared" si="5"/>
        <v>28</v>
      </c>
      <c r="O6">
        <f ca="1" t="shared" ref="O6" si="6">RANDBETWEEN(4,15)</f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zoomScale="85" zoomScaleNormal="85" workbookViewId="0">
      <selection activeCell="D20" sqref="D20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22.5384615384615" customWidth="1"/>
    <col min="8" max="8" width="15.4615384615385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>
      <c r="A2" t="s">
        <v>54</v>
      </c>
      <c r="L2">
        <v>1000</v>
      </c>
      <c r="M2">
        <f>1*10^-3</f>
        <v>0.001</v>
      </c>
      <c r="N2">
        <f>SUM(G3:G6)</f>
        <v>21950.5</v>
      </c>
    </row>
    <row r="3" spans="1:14">
      <c r="A3" s="1" t="s">
        <v>55</v>
      </c>
      <c r="B3">
        <f>Building!L2</f>
        <v>189.698571428571</v>
      </c>
      <c r="C3">
        <f>Branch!D2</f>
        <v>81</v>
      </c>
      <c r="D3" s="2">
        <v>250</v>
      </c>
      <c r="E3" s="3">
        <v>1.03</v>
      </c>
      <c r="F3" s="4">
        <v>45</v>
      </c>
      <c r="G3">
        <f t="shared" ref="G3:G6" si="0">C3*F3</f>
        <v>3645</v>
      </c>
      <c r="J3">
        <f>L$2*E3*D3/1000/M$2</f>
        <v>257500</v>
      </c>
      <c r="K3">
        <f>1/(1.14+2*LOG10((D3/0.5)))^2</f>
        <v>0.0233947353976847</v>
      </c>
    </row>
    <row r="4" spans="1:14">
      <c r="A4" t="s">
        <v>56</v>
      </c>
      <c r="B4">
        <f>B3-B12</f>
        <v>76.2642857142857</v>
      </c>
      <c r="C4">
        <f>Branch!D3</f>
        <v>75</v>
      </c>
      <c r="D4" s="5">
        <v>150</v>
      </c>
      <c r="E4" s="6">
        <v>1.25</v>
      </c>
      <c r="F4" s="7">
        <v>133.3</v>
      </c>
      <c r="G4">
        <f t="shared" si="0"/>
        <v>9997.5</v>
      </c>
      <c r="J4">
        <f>L$2*E4*D4/1000/M$2</f>
        <v>187500</v>
      </c>
      <c r="K4">
        <f>1/(1.14+2*LOG10((D4/0.5)))^2</f>
        <v>0.0269252990527845</v>
      </c>
    </row>
    <row r="5" spans="1:14">
      <c r="A5" t="s">
        <v>57</v>
      </c>
      <c r="B5">
        <f>B4-B10</f>
        <v>55.5214285714286</v>
      </c>
      <c r="C5">
        <f>Branch!D4</f>
        <v>65</v>
      </c>
      <c r="D5" s="5">
        <v>150</v>
      </c>
      <c r="E5" s="6">
        <v>0.92</v>
      </c>
      <c r="F5" s="7">
        <v>72.6</v>
      </c>
      <c r="G5">
        <f t="shared" si="0"/>
        <v>4719</v>
      </c>
      <c r="J5">
        <f>L$2*E5*D5/1000/M$2</f>
        <v>138000</v>
      </c>
      <c r="K5">
        <f>1/(1.14+2*LOG10((D5/0.5)))^2</f>
        <v>0.0269252990527845</v>
      </c>
    </row>
    <row r="6" spans="1:14">
      <c r="A6" s="8" t="s">
        <v>58</v>
      </c>
      <c r="B6">
        <f>Building!I6</f>
        <v>40.4357142857143</v>
      </c>
      <c r="C6">
        <f>Branch!D5</f>
        <v>97</v>
      </c>
      <c r="D6" s="5">
        <v>150</v>
      </c>
      <c r="E6" s="6">
        <v>0.66</v>
      </c>
      <c r="F6" s="7">
        <v>37</v>
      </c>
      <c r="G6">
        <f t="shared" si="0"/>
        <v>3589</v>
      </c>
      <c r="J6">
        <f>L$2*E6*D6/1000/M$2</f>
        <v>99000</v>
      </c>
      <c r="K6">
        <f>1/(1.14+2*LOG10((D6/0.5)))^2</f>
        <v>0.0269252990527845</v>
      </c>
      <c r="L6">
        <f>B5-B11</f>
        <v>40.4357142857143</v>
      </c>
    </row>
    <row r="7" spans="1:14">
      <c r="D7" s="5"/>
      <c r="E7" s="6"/>
      <c r="F7" s="7"/>
    </row>
    <row r="8" spans="1:14">
      <c r="A8" t="s">
        <v>59</v>
      </c>
      <c r="D8" s="5"/>
      <c r="E8" s="6"/>
      <c r="F8" s="7"/>
    </row>
    <row r="9" spans="1:14">
      <c r="D9" s="5"/>
      <c r="E9" s="6"/>
      <c r="F9" s="7"/>
    </row>
    <row r="10" spans="1:14">
      <c r="A10" s="8" t="s">
        <v>60</v>
      </c>
      <c r="B10">
        <f>Building!I4</f>
        <v>20.7428571428571</v>
      </c>
      <c r="C10">
        <f>Branch!D6</f>
        <v>77</v>
      </c>
      <c r="D10" s="5">
        <v>100</v>
      </c>
      <c r="E10" s="6">
        <v>0.7</v>
      </c>
      <c r="F10" s="7">
        <v>79.3</v>
      </c>
      <c r="G10">
        <f t="shared" ref="G10:G14" si="1">C10*F10</f>
        <v>6106.1</v>
      </c>
      <c r="H10">
        <f>N$2-G3-G4</f>
        <v>8308</v>
      </c>
      <c r="I10">
        <f>H10/C10</f>
        <v>107.896103896104</v>
      </c>
      <c r="J10">
        <f>L$2*E10*D10/1000/M$2</f>
        <v>70000</v>
      </c>
      <c r="K10">
        <f t="shared" ref="K10:K14" si="2">1/(1.14+2*LOG10((D10/0.5)))^2</f>
        <v>0.0303294509825929</v>
      </c>
    </row>
    <row r="11" spans="1:14">
      <c r="A11" s="8" t="s">
        <v>61</v>
      </c>
      <c r="B11">
        <f>Building!I5</f>
        <v>15.0857142857143</v>
      </c>
      <c r="C11">
        <f>Branch!D7</f>
        <v>37</v>
      </c>
      <c r="D11" s="5">
        <v>125</v>
      </c>
      <c r="E11" s="6">
        <v>0.87</v>
      </c>
      <c r="F11" s="7">
        <v>83.2</v>
      </c>
      <c r="G11">
        <f t="shared" si="1"/>
        <v>3078.4</v>
      </c>
      <c r="H11">
        <f>H10-G5</f>
        <v>3589</v>
      </c>
      <c r="I11">
        <f t="shared" ref="I11:I14" si="3">H11/C11</f>
        <v>97</v>
      </c>
      <c r="J11">
        <f>L$2*E11*D11/1000/M$2</f>
        <v>108750</v>
      </c>
      <c r="K11">
        <f t="shared" si="2"/>
        <v>0.0283811358286925</v>
      </c>
    </row>
    <row r="12" spans="1:14">
      <c r="A12" s="8" t="s">
        <v>62</v>
      </c>
      <c r="B12">
        <f>B13+B14</f>
        <v>113.434285714286</v>
      </c>
      <c r="C12">
        <f>Branch!D8</f>
        <v>53</v>
      </c>
      <c r="D12" s="5">
        <v>200</v>
      </c>
      <c r="E12" s="6">
        <v>0.99</v>
      </c>
      <c r="F12" s="7">
        <v>36</v>
      </c>
      <c r="G12">
        <f t="shared" si="1"/>
        <v>1908</v>
      </c>
      <c r="H12" s="9">
        <f>N2-G3</f>
        <v>18305.5</v>
      </c>
      <c r="I12">
        <f t="shared" si="3"/>
        <v>345.38679245283</v>
      </c>
      <c r="J12">
        <f>L$2*E12*D12/1000/M$2</f>
        <v>198000</v>
      </c>
      <c r="K12">
        <f t="shared" si="2"/>
        <v>0.0248460425197335</v>
      </c>
    </row>
    <row r="13" spans="1:14">
      <c r="A13" s="8" t="s">
        <v>63</v>
      </c>
      <c r="B13">
        <f>Building!I2</f>
        <v>58.8342857142857</v>
      </c>
      <c r="C13">
        <f>Branch!D9</f>
        <v>58</v>
      </c>
      <c r="D13" s="5">
        <v>125</v>
      </c>
      <c r="E13" s="6">
        <v>1.37</v>
      </c>
      <c r="F13" s="7">
        <v>204.3</v>
      </c>
      <c r="G13">
        <f t="shared" si="1"/>
        <v>11849.4</v>
      </c>
      <c r="I13">
        <f t="shared" si="3"/>
        <v>0</v>
      </c>
      <c r="J13">
        <f t="shared" ref="J13:J14" si="4">L$2*E13*D13/1000/M$2</f>
        <v>171250</v>
      </c>
      <c r="K13">
        <f t="shared" si="2"/>
        <v>0.0283811358286925</v>
      </c>
    </row>
    <row r="14" spans="1:14">
      <c r="A14" s="8" t="s">
        <v>64</v>
      </c>
      <c r="B14">
        <f>Building!I3</f>
        <v>54.6</v>
      </c>
      <c r="C14">
        <f>Branch!D10</f>
        <v>31</v>
      </c>
      <c r="D14" s="10">
        <v>125</v>
      </c>
      <c r="E14" s="11">
        <v>1.28</v>
      </c>
      <c r="F14" s="12">
        <v>177.1</v>
      </c>
      <c r="G14">
        <f t="shared" si="1"/>
        <v>5490.1</v>
      </c>
      <c r="H14">
        <f>H12-G13</f>
        <v>6456.1</v>
      </c>
      <c r="I14">
        <f t="shared" si="3"/>
        <v>208.261290322581</v>
      </c>
      <c r="J14">
        <f t="shared" si="4"/>
        <v>160000</v>
      </c>
      <c r="K14">
        <f t="shared" si="2"/>
        <v>0.0283811358286925</v>
      </c>
    </row>
    <row r="16" spans="1:14">
      <c r="A16" s="13" t="s">
        <v>65</v>
      </c>
      <c r="B16">
        <f>B13</f>
        <v>58.8342857142857</v>
      </c>
      <c r="C16">
        <f>H16/F16</f>
        <v>97.8952520802741</v>
      </c>
      <c r="D16">
        <f>D13</f>
        <v>125</v>
      </c>
      <c r="E16">
        <f>E13</f>
        <v>1.37</v>
      </c>
      <c r="F16">
        <f>F13</f>
        <v>204.3</v>
      </c>
      <c r="G16">
        <f>C16*F16</f>
        <v>20000</v>
      </c>
      <c r="H16">
        <v>20000</v>
      </c>
      <c r="I16">
        <v>100</v>
      </c>
      <c r="J16">
        <f>L$2*E16*D16/1000/M$2</f>
        <v>171250</v>
      </c>
      <c r="K16">
        <f>1/(1.14+2*LOG10((D16/0.5)))^2</f>
        <v>0.0283811358286925</v>
      </c>
    </row>
    <row r="17" spans="1:11">
      <c r="A17" s="13" t="s">
        <v>66</v>
      </c>
      <c r="B17">
        <f>B14</f>
        <v>54.6</v>
      </c>
      <c r="C17">
        <f t="shared" ref="C17:C20" si="5">H17/F17</f>
        <v>112.930547713156</v>
      </c>
      <c r="D17">
        <f>D14</f>
        <v>125</v>
      </c>
      <c r="E17">
        <f>E14</f>
        <v>1.28</v>
      </c>
      <c r="F17">
        <f>F14</f>
        <v>177.1</v>
      </c>
      <c r="G17">
        <f>C17*F17</f>
        <v>20000</v>
      </c>
      <c r="H17">
        <v>20000</v>
      </c>
      <c r="I17">
        <v>100</v>
      </c>
      <c r="J17">
        <f>L$2*E17*D17/1000/M$2</f>
        <v>160000</v>
      </c>
      <c r="K17">
        <f t="shared" ref="K17:K20" si="6">1/(1.14+2*LOG10((D17/0.5)))^2</f>
        <v>0.0283811358286925</v>
      </c>
    </row>
    <row r="18" spans="1:11">
      <c r="A18" s="13" t="s">
        <v>67</v>
      </c>
      <c r="B18">
        <f>B10</f>
        <v>20.7428571428571</v>
      </c>
      <c r="C18">
        <f t="shared" si="5"/>
        <v>252.206809583859</v>
      </c>
      <c r="D18">
        <f>D10</f>
        <v>100</v>
      </c>
      <c r="E18">
        <f>E10</f>
        <v>0.7</v>
      </c>
      <c r="F18">
        <f>F10</f>
        <v>79.3</v>
      </c>
      <c r="G18">
        <f t="shared" ref="G18:G19" si="7">C18*F18</f>
        <v>20000</v>
      </c>
      <c r="H18">
        <v>20000</v>
      </c>
      <c r="I18">
        <v>100</v>
      </c>
      <c r="J18">
        <f>L$2*E18*D18/1000/M$2</f>
        <v>70000</v>
      </c>
      <c r="K18">
        <f t="shared" si="6"/>
        <v>0.0303294509825929</v>
      </c>
    </row>
    <row r="19" spans="1:11">
      <c r="A19" s="13" t="s">
        <v>68</v>
      </c>
      <c r="B19">
        <f>B11</f>
        <v>15.0857142857143</v>
      </c>
      <c r="C19">
        <f t="shared" si="5"/>
        <v>240.384615384615</v>
      </c>
      <c r="D19">
        <f>D11</f>
        <v>125</v>
      </c>
      <c r="E19">
        <f>E11</f>
        <v>0.87</v>
      </c>
      <c r="F19">
        <f>F11</f>
        <v>83.2</v>
      </c>
      <c r="G19">
        <f t="shared" si="7"/>
        <v>20000</v>
      </c>
      <c r="H19">
        <v>20000</v>
      </c>
      <c r="I19">
        <v>100</v>
      </c>
      <c r="J19">
        <f>L$2*E19*D19/1000/M$2</f>
        <v>108750</v>
      </c>
      <c r="K19">
        <f t="shared" si="6"/>
        <v>0.0283811358286925</v>
      </c>
    </row>
    <row r="20" spans="1:11">
      <c r="A20" s="13" t="s">
        <v>69</v>
      </c>
      <c r="B20">
        <f>B6</f>
        <v>40.4357142857143</v>
      </c>
      <c r="C20">
        <f t="shared" si="5"/>
        <v>540.540540540541</v>
      </c>
      <c r="D20">
        <f>D6</f>
        <v>150</v>
      </c>
      <c r="E20">
        <f>E6</f>
        <v>0.66</v>
      </c>
      <c r="F20">
        <f t="shared" ref="F20" si="8">F6</f>
        <v>37</v>
      </c>
      <c r="G20">
        <v>20000</v>
      </c>
      <c r="H20">
        <v>20000</v>
      </c>
      <c r="I20">
        <v>100</v>
      </c>
      <c r="J20">
        <f>L$2*E20*D20/1000/M$2</f>
        <v>99000</v>
      </c>
      <c r="K20">
        <f t="shared" si="6"/>
        <v>0.0269252990527845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2026-01-07T09:30:00Z</dcterms:created>
  <dcterms:modified xsi:type="dcterms:W3CDTF">2026-01-23T22:59:07Z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