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<sst xmlns="http://schemas.openxmlformats.org/spreadsheetml/2006/main" count="317" uniqueCount="109">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</sst>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N23" sqref="N23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33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38</v>
      </c>
    </row>
    <row r="3" spans="1:11">
      <c r="A3" s="15">
        <v>2</v>
      </c>
      <c r="B3">
        <v>2</v>
      </c>
      <c r="C3">
        <v>3</v>
      </c>
      <c r="D3" s="17">
        <v>68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83</v>
      </c>
    </row>
    <row r="4" spans="1:11">
      <c r="A4" s="15">
        <v>3</v>
      </c>
      <c r="B4">
        <v>3</v>
      </c>
      <c r="C4">
        <v>4</v>
      </c>
      <c r="D4" s="17">
        <v>73</v>
      </c>
      <c r="E4">
        <f>管径设计!D5</f>
        <v>350</v>
      </c>
      <c r="F4">
        <f t="shared" si="0"/>
        <v>0.0214355019129582</v>
      </c>
      <c r="G4">
        <f t="shared" si="1"/>
        <v>0.82321203699683</v>
      </c>
      <c r="J4" t="s">
        <v>8</v>
      </c>
      <c r="K4">
        <f ca="1" t="shared" si="2"/>
        <v>31</v>
      </c>
    </row>
    <row r="5" spans="1:11">
      <c r="A5" s="15">
        <v>4</v>
      </c>
      <c r="B5">
        <v>4</v>
      </c>
      <c r="C5">
        <v>5</v>
      </c>
      <c r="D5" s="17">
        <v>60</v>
      </c>
      <c r="E5">
        <f>管径设计!D6</f>
        <v>350</v>
      </c>
      <c r="F5">
        <f t="shared" si="0"/>
        <v>0.0214355019129582</v>
      </c>
      <c r="G5">
        <f t="shared" si="1"/>
        <v>0.82321203699683</v>
      </c>
      <c r="J5" t="s">
        <v>8</v>
      </c>
      <c r="K5">
        <f ca="1" t="shared" si="2"/>
        <v>60</v>
      </c>
    </row>
    <row r="6" spans="1:11">
      <c r="A6" s="15">
        <v>5</v>
      </c>
      <c r="B6">
        <v>5</v>
      </c>
      <c r="C6">
        <v>6</v>
      </c>
      <c r="D6" s="17">
        <v>94</v>
      </c>
      <c r="E6">
        <f>管径设计!D7</f>
        <v>350</v>
      </c>
      <c r="F6">
        <f t="shared" si="0"/>
        <v>0.0214355019129582</v>
      </c>
      <c r="G6">
        <f t="shared" si="1"/>
        <v>0.82321203699683</v>
      </c>
      <c r="J6" t="s">
        <v>8</v>
      </c>
      <c r="K6">
        <f ca="1" t="shared" si="2"/>
        <v>72</v>
      </c>
    </row>
    <row r="7" spans="1:11">
      <c r="A7" s="15">
        <v>6</v>
      </c>
      <c r="B7">
        <v>6</v>
      </c>
      <c r="C7">
        <v>7</v>
      </c>
      <c r="D7" s="17">
        <v>64</v>
      </c>
      <c r="E7">
        <f>管径设计!D8</f>
        <v>300</v>
      </c>
      <c r="F7">
        <f t="shared" si="0"/>
        <v>0.0223012841491152</v>
      </c>
      <c r="G7">
        <f t="shared" si="1"/>
        <v>0.705610317425854</v>
      </c>
      <c r="J7" t="s">
        <v>8</v>
      </c>
      <c r="K7">
        <f ca="1" t="shared" si="2"/>
        <v>54</v>
      </c>
    </row>
    <row r="8" spans="1:11">
      <c r="A8" s="15">
        <v>7</v>
      </c>
      <c r="B8">
        <v>7</v>
      </c>
      <c r="C8">
        <v>8</v>
      </c>
      <c r="D8" s="17">
        <v>84</v>
      </c>
      <c r="E8">
        <f>管径设计!D9</f>
        <v>300</v>
      </c>
      <c r="F8">
        <f t="shared" si="0"/>
        <v>0.0223012841491152</v>
      </c>
      <c r="G8">
        <f t="shared" si="1"/>
        <v>0.705610317425854</v>
      </c>
      <c r="J8" t="s">
        <v>8</v>
      </c>
      <c r="K8">
        <f ca="1" t="shared" si="2"/>
        <v>53</v>
      </c>
    </row>
    <row r="9" spans="1:11">
      <c r="A9" s="15">
        <v>8</v>
      </c>
      <c r="B9">
        <v>8</v>
      </c>
      <c r="C9">
        <v>9</v>
      </c>
      <c r="D9" s="17">
        <v>92</v>
      </c>
      <c r="E9">
        <f>管径设计!D10</f>
        <v>300</v>
      </c>
      <c r="F9">
        <f t="shared" si="0"/>
        <v>0.0223012841491152</v>
      </c>
      <c r="G9">
        <f t="shared" si="1"/>
        <v>0.705610317425854</v>
      </c>
      <c r="J9" t="s">
        <v>8</v>
      </c>
      <c r="K9">
        <f ca="1" t="shared" si="2"/>
        <v>89</v>
      </c>
    </row>
    <row r="10" spans="1:11">
      <c r="A10" s="15">
        <v>9</v>
      </c>
      <c r="B10">
        <v>9</v>
      </c>
      <c r="C10">
        <v>10</v>
      </c>
      <c r="D10" s="17">
        <v>86</v>
      </c>
      <c r="E10">
        <f>管径设计!D11</f>
        <v>300</v>
      </c>
      <c r="F10">
        <f t="shared" si="0"/>
        <v>0.0223012841491152</v>
      </c>
      <c r="G10">
        <f t="shared" si="1"/>
        <v>0.705610317425854</v>
      </c>
      <c r="J10" t="s">
        <v>8</v>
      </c>
      <c r="K10">
        <f ca="1" t="shared" si="2"/>
        <v>71</v>
      </c>
    </row>
    <row r="11" spans="1:11">
      <c r="A11" s="15">
        <v>10</v>
      </c>
      <c r="B11">
        <v>10</v>
      </c>
      <c r="C11">
        <v>11</v>
      </c>
      <c r="D11" s="17">
        <v>76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92</v>
      </c>
    </row>
    <row r="12" spans="1:11">
      <c r="A12" s="15">
        <v>11</v>
      </c>
      <c r="B12">
        <v>11</v>
      </c>
      <c r="C12">
        <v>12</v>
      </c>
      <c r="D12" s="17">
        <v>70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58</v>
      </c>
    </row>
    <row r="13" spans="1:11">
      <c r="A13" s="15">
        <v>12</v>
      </c>
      <c r="B13">
        <v>12</v>
      </c>
      <c r="C13">
        <v>13</v>
      </c>
      <c r="D13" s="17">
        <v>76</v>
      </c>
      <c r="E13">
        <f>管径设计!D14</f>
        <v>250</v>
      </c>
      <c r="F13">
        <f t="shared" si="0"/>
        <v>0.0233947353976847</v>
      </c>
      <c r="G13">
        <f t="shared" si="1"/>
        <v>0.588008597854879</v>
      </c>
      <c r="J13" t="s">
        <v>8</v>
      </c>
      <c r="K13">
        <f ca="1" t="shared" si="2"/>
        <v>58</v>
      </c>
    </row>
    <row r="14" spans="1:11">
      <c r="A14" s="15">
        <v>13</v>
      </c>
      <c r="B14">
        <v>13</v>
      </c>
      <c r="C14">
        <v>14</v>
      </c>
      <c r="D14" s="17">
        <v>46</v>
      </c>
      <c r="E14">
        <f>管径设计!D15</f>
        <v>250</v>
      </c>
      <c r="F14">
        <f t="shared" si="0"/>
        <v>0.0233947353976847</v>
      </c>
      <c r="G14">
        <f t="shared" si="1"/>
        <v>0.588008597854879</v>
      </c>
      <c r="J14" t="s">
        <v>8</v>
      </c>
      <c r="K14">
        <f ca="1" t="shared" si="2"/>
        <v>65</v>
      </c>
    </row>
    <row r="15" spans="1:11">
      <c r="A15" s="15">
        <v>14</v>
      </c>
      <c r="B15">
        <v>14</v>
      </c>
      <c r="C15">
        <v>15</v>
      </c>
      <c r="D15" s="17">
        <v>96</v>
      </c>
      <c r="E15">
        <f>管径设计!D16</f>
        <v>200</v>
      </c>
      <c r="F15">
        <f t="shared" si="0"/>
        <v>0.0248460425197335</v>
      </c>
      <c r="G15">
        <f t="shared" si="1"/>
        <v>0.470406878283903</v>
      </c>
      <c r="J15" t="s">
        <v>8</v>
      </c>
      <c r="K15">
        <f ca="1" t="shared" si="2"/>
        <v>95</v>
      </c>
    </row>
    <row r="16" spans="1:11">
      <c r="A16" s="15">
        <v>15</v>
      </c>
      <c r="B16">
        <v>15</v>
      </c>
      <c r="C16">
        <v>30</v>
      </c>
      <c r="D16" s="17">
        <v>75</v>
      </c>
      <c r="E16">
        <f>管径设计!D17</f>
        <v>150</v>
      </c>
      <c r="F16">
        <f t="shared" si="0"/>
        <v>0.0269252990527845</v>
      </c>
      <c r="G16">
        <f t="shared" si="1"/>
        <v>0.352805158712927</v>
      </c>
      <c r="H16">
        <v>15</v>
      </c>
      <c r="J16" t="s">
        <v>8</v>
      </c>
      <c r="K16">
        <f ca="1" t="shared" si="2"/>
        <v>85</v>
      </c>
    </row>
    <row r="17" spans="1:11">
      <c r="A17" s="15">
        <v>16</v>
      </c>
      <c r="B17">
        <v>2</v>
      </c>
      <c r="C17">
        <v>16</v>
      </c>
      <c r="D17" s="17">
        <v>36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100</v>
      </c>
    </row>
    <row r="18" spans="1:11">
      <c r="A18" s="15">
        <v>17</v>
      </c>
      <c r="B18">
        <v>3</v>
      </c>
      <c r="C18">
        <v>17</v>
      </c>
      <c r="D18" s="17">
        <v>93</v>
      </c>
      <c r="E18">
        <f>管径设计!D21</f>
        <v>100</v>
      </c>
      <c r="F18">
        <f t="shared" si="0"/>
        <v>0.0303294509825929</v>
      </c>
      <c r="G18">
        <f t="shared" si="1"/>
        <v>0.235203439141951</v>
      </c>
      <c r="H18">
        <v>2</v>
      </c>
      <c r="J18" t="s">
        <v>8</v>
      </c>
      <c r="K18">
        <f ca="1" t="shared" si="2"/>
        <v>69</v>
      </c>
    </row>
    <row r="19" spans="1:11">
      <c r="A19" s="15">
        <v>18</v>
      </c>
      <c r="B19">
        <v>4</v>
      </c>
      <c r="C19">
        <v>18</v>
      </c>
      <c r="D19" s="17">
        <v>74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3</v>
      </c>
      <c r="J19" t="s">
        <v>8</v>
      </c>
      <c r="K19">
        <f ca="1" t="shared" si="2"/>
        <v>72</v>
      </c>
    </row>
    <row r="20" spans="1:11">
      <c r="A20" s="15">
        <v>19</v>
      </c>
      <c r="B20">
        <v>5</v>
      </c>
      <c r="C20">
        <v>19</v>
      </c>
      <c r="D20" s="17">
        <v>77</v>
      </c>
      <c r="E20">
        <f>管径设计!D23</f>
        <v>80</v>
      </c>
      <c r="F20">
        <f t="shared" si="0"/>
        <v>0.032485497883736</v>
      </c>
      <c r="G20">
        <f t="shared" si="1"/>
        <v>0.188162751313561</v>
      </c>
      <c r="H20">
        <v>4</v>
      </c>
      <c r="J20" t="s">
        <v>8</v>
      </c>
      <c r="K20">
        <f ca="1" t="shared" si="2"/>
        <v>84</v>
      </c>
    </row>
    <row r="21" spans="1:11">
      <c r="A21" s="15">
        <v>20</v>
      </c>
      <c r="B21">
        <v>6</v>
      </c>
      <c r="C21">
        <v>20</v>
      </c>
      <c r="D21" s="17">
        <v>84</v>
      </c>
      <c r="E21">
        <f>管径设计!D24</f>
        <v>100</v>
      </c>
      <c r="F21">
        <f t="shared" si="0"/>
        <v>0.0303294509825929</v>
      </c>
      <c r="G21">
        <f t="shared" si="1"/>
        <v>0.235203439141951</v>
      </c>
      <c r="H21">
        <v>5</v>
      </c>
      <c r="J21" t="s">
        <v>8</v>
      </c>
      <c r="K21">
        <f ca="1" t="shared" si="2"/>
        <v>50</v>
      </c>
    </row>
    <row r="22" spans="1:11">
      <c r="A22" s="15">
        <v>21</v>
      </c>
      <c r="B22">
        <v>7</v>
      </c>
      <c r="C22">
        <v>21</v>
      </c>
      <c r="D22" s="17">
        <v>58</v>
      </c>
      <c r="E22">
        <f>管径设计!D25</f>
        <v>100</v>
      </c>
      <c r="F22">
        <f t="shared" si="0"/>
        <v>0.0303294509825929</v>
      </c>
      <c r="G22">
        <f t="shared" si="1"/>
        <v>0.235203439141951</v>
      </c>
      <c r="H22">
        <v>6</v>
      </c>
      <c r="J22" t="s">
        <v>8</v>
      </c>
      <c r="K22">
        <f ca="1" t="shared" si="2"/>
        <v>44</v>
      </c>
    </row>
    <row r="23" spans="1:11">
      <c r="A23" s="15">
        <v>22</v>
      </c>
      <c r="B23">
        <v>8</v>
      </c>
      <c r="C23">
        <v>22</v>
      </c>
      <c r="D23" s="17">
        <v>50</v>
      </c>
      <c r="E23">
        <f>管径设计!D26</f>
        <v>80</v>
      </c>
      <c r="F23">
        <f t="shared" si="0"/>
        <v>0.032485497883736</v>
      </c>
      <c r="G23">
        <f t="shared" si="1"/>
        <v>0.188162751313561</v>
      </c>
      <c r="H23">
        <v>7</v>
      </c>
      <c r="J23" t="s">
        <v>8</v>
      </c>
      <c r="K23">
        <f ca="1" t="shared" si="2"/>
        <v>76</v>
      </c>
    </row>
    <row r="24" spans="1:11">
      <c r="A24" s="15">
        <v>23</v>
      </c>
      <c r="B24">
        <v>9</v>
      </c>
      <c r="C24">
        <v>23</v>
      </c>
      <c r="D24" s="17">
        <v>91</v>
      </c>
      <c r="E24">
        <f>管径设计!D27</f>
        <v>100</v>
      </c>
      <c r="F24">
        <f t="shared" si="0"/>
        <v>0.0303294509825929</v>
      </c>
      <c r="G24">
        <f t="shared" si="1"/>
        <v>0.235203439141951</v>
      </c>
      <c r="H24">
        <v>8</v>
      </c>
      <c r="J24" t="s">
        <v>8</v>
      </c>
      <c r="K24">
        <f ca="1" t="shared" si="2"/>
        <v>45</v>
      </c>
    </row>
    <row r="25" spans="1:11">
      <c r="A25" s="15">
        <v>24</v>
      </c>
      <c r="B25">
        <v>10</v>
      </c>
      <c r="C25">
        <v>24</v>
      </c>
      <c r="D25" s="17">
        <v>53</v>
      </c>
      <c r="E25">
        <f>管径设计!D28</f>
        <v>125</v>
      </c>
      <c r="F25">
        <f t="shared" si="0"/>
        <v>0.0283811358286925</v>
      </c>
      <c r="G25">
        <f t="shared" si="1"/>
        <v>0.294004298927439</v>
      </c>
      <c r="H25">
        <v>9</v>
      </c>
      <c r="J25" t="s">
        <v>8</v>
      </c>
      <c r="K25">
        <f ca="1" t="shared" si="2"/>
        <v>53</v>
      </c>
    </row>
    <row r="26" spans="1:11">
      <c r="A26" s="15">
        <v>25</v>
      </c>
      <c r="B26">
        <v>11</v>
      </c>
      <c r="C26">
        <v>25</v>
      </c>
      <c r="D26" s="17">
        <v>85</v>
      </c>
      <c r="E26">
        <f>管径设计!D29</f>
        <v>125</v>
      </c>
      <c r="F26">
        <f t="shared" si="0"/>
        <v>0.0283811358286925</v>
      </c>
      <c r="G26">
        <f t="shared" si="1"/>
        <v>0.294004298927439</v>
      </c>
      <c r="H26">
        <v>10</v>
      </c>
      <c r="J26" t="s">
        <v>8</v>
      </c>
      <c r="K26">
        <f ca="1" t="shared" si="2"/>
        <v>58</v>
      </c>
    </row>
    <row r="27" spans="1:11">
      <c r="A27" s="15">
        <v>26</v>
      </c>
      <c r="B27">
        <v>12</v>
      </c>
      <c r="C27">
        <v>26</v>
      </c>
      <c r="D27" s="17">
        <v>65</v>
      </c>
      <c r="E27">
        <f>管径设计!D30</f>
        <v>100</v>
      </c>
      <c r="F27">
        <f t="shared" si="0"/>
        <v>0.0303294509825929</v>
      </c>
      <c r="G27">
        <f t="shared" si="1"/>
        <v>0.235203439141951</v>
      </c>
      <c r="H27">
        <v>11</v>
      </c>
      <c r="J27" t="s">
        <v>8</v>
      </c>
      <c r="K27">
        <f ca="1" t="shared" si="2"/>
        <v>48</v>
      </c>
    </row>
    <row r="28" spans="1:11">
      <c r="A28" s="15">
        <v>27</v>
      </c>
      <c r="B28">
        <v>13</v>
      </c>
      <c r="C28">
        <v>27</v>
      </c>
      <c r="D28" s="17">
        <v>48</v>
      </c>
      <c r="E28">
        <f>管径设计!D31</f>
        <v>100</v>
      </c>
      <c r="F28">
        <f t="shared" si="0"/>
        <v>0.0303294509825929</v>
      </c>
      <c r="G28">
        <f t="shared" si="1"/>
        <v>0.235203439141951</v>
      </c>
      <c r="H28">
        <v>12</v>
      </c>
      <c r="J28" t="s">
        <v>8</v>
      </c>
      <c r="K28">
        <f ca="1" t="shared" si="2"/>
        <v>58</v>
      </c>
    </row>
    <row r="29" spans="1:11">
      <c r="A29" s="15">
        <v>28</v>
      </c>
      <c r="B29">
        <v>14</v>
      </c>
      <c r="C29">
        <v>28</v>
      </c>
      <c r="D29" s="17">
        <v>46</v>
      </c>
      <c r="E29">
        <f>管径设计!D32</f>
        <v>125</v>
      </c>
      <c r="F29">
        <f t="shared" si="0"/>
        <v>0.0283811358286925</v>
      </c>
      <c r="G29">
        <f t="shared" si="1"/>
        <v>0.294004298927439</v>
      </c>
      <c r="H29">
        <v>13</v>
      </c>
      <c r="J29" t="s">
        <v>8</v>
      </c>
      <c r="K29">
        <f ca="1" t="shared" si="2"/>
        <v>83</v>
      </c>
    </row>
    <row r="30" spans="1:11">
      <c r="A30" s="15">
        <v>29</v>
      </c>
      <c r="B30">
        <v>15</v>
      </c>
      <c r="C30">
        <v>29</v>
      </c>
      <c r="D30" s="18">
        <v>72</v>
      </c>
      <c r="E30">
        <f>管径设计!D33</f>
        <v>150</v>
      </c>
      <c r="F30">
        <f t="shared" si="0"/>
        <v>0.0269252990527845</v>
      </c>
      <c r="G30">
        <f t="shared" si="1"/>
        <v>0.352805158712927</v>
      </c>
      <c r="H30">
        <v>14</v>
      </c>
      <c r="J30" t="s">
        <v>8</v>
      </c>
      <c r="K30">
        <f ca="1" t="shared" si="2"/>
        <v>61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33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68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73</v>
      </c>
      <c r="E33">
        <f t="shared" si="6"/>
        <v>350</v>
      </c>
      <c r="F33">
        <f t="shared" si="0"/>
        <v>0.0214355019129582</v>
      </c>
      <c r="G33">
        <f t="shared" si="1"/>
        <v>0.82321203699683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60</v>
      </c>
      <c r="E34">
        <f t="shared" si="6"/>
        <v>350</v>
      </c>
      <c r="F34">
        <f t="shared" si="0"/>
        <v>0.0214355019129582</v>
      </c>
      <c r="G34">
        <f t="shared" si="1"/>
        <v>0.82321203699683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94</v>
      </c>
      <c r="E35">
        <f t="shared" si="6"/>
        <v>350</v>
      </c>
      <c r="F35">
        <f t="shared" si="0"/>
        <v>0.0214355019129582</v>
      </c>
      <c r="G35">
        <f t="shared" si="1"/>
        <v>0.82321203699683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64</v>
      </c>
      <c r="E36">
        <f t="shared" si="6"/>
        <v>300</v>
      </c>
      <c r="F36">
        <f t="shared" si="0"/>
        <v>0.0223012841491152</v>
      </c>
      <c r="G36">
        <f t="shared" si="1"/>
        <v>0.705610317425854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84</v>
      </c>
      <c r="E37">
        <f t="shared" si="6"/>
        <v>300</v>
      </c>
      <c r="F37">
        <f t="shared" si="0"/>
        <v>0.0223012841491152</v>
      </c>
      <c r="G37">
        <f t="shared" si="1"/>
        <v>0.705610317425854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92</v>
      </c>
      <c r="E38">
        <f t="shared" si="6"/>
        <v>300</v>
      </c>
      <c r="F38">
        <f t="shared" si="0"/>
        <v>0.0223012841491152</v>
      </c>
      <c r="G38">
        <f t="shared" si="1"/>
        <v>0.705610317425854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86</v>
      </c>
      <c r="E39">
        <f t="shared" si="6"/>
        <v>300</v>
      </c>
      <c r="F39">
        <f t="shared" si="0"/>
        <v>0.0223012841491152</v>
      </c>
      <c r="G39">
        <f t="shared" si="1"/>
        <v>0.705610317425854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76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70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76</v>
      </c>
      <c r="E42">
        <f t="shared" si="6"/>
        <v>250</v>
      </c>
      <c r="F42">
        <f t="shared" si="7"/>
        <v>0.0233947353976847</v>
      </c>
      <c r="G42">
        <f t="shared" si="8"/>
        <v>0.588008597854879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46</v>
      </c>
      <c r="E43">
        <f t="shared" si="6"/>
        <v>250</v>
      </c>
      <c r="F43">
        <f t="shared" si="7"/>
        <v>0.0233947353976847</v>
      </c>
      <c r="G43">
        <f t="shared" si="8"/>
        <v>0.588008597854879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96</v>
      </c>
      <c r="E44">
        <f t="shared" si="6"/>
        <v>200</v>
      </c>
      <c r="F44">
        <f t="shared" si="7"/>
        <v>0.0248460425197335</v>
      </c>
      <c r="G44">
        <f t="shared" si="8"/>
        <v>0.470406878283903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75</v>
      </c>
      <c r="E45">
        <f t="shared" si="6"/>
        <v>150</v>
      </c>
      <c r="F45">
        <f t="shared" si="7"/>
        <v>0.0269252990527845</v>
      </c>
      <c r="G45">
        <f t="shared" si="8"/>
        <v>0.352805158712927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36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93</v>
      </c>
      <c r="E47">
        <f t="shared" si="6"/>
        <v>100</v>
      </c>
      <c r="F47">
        <f t="shared" si="7"/>
        <v>0.0303294509825929</v>
      </c>
      <c r="G47">
        <f t="shared" si="8"/>
        <v>0.235203439141951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74</v>
      </c>
      <c r="E48">
        <f t="shared" si="6"/>
        <v>100</v>
      </c>
      <c r="F48">
        <f t="shared" si="7"/>
        <v>0.0303294509825929</v>
      </c>
      <c r="G48">
        <f t="shared" si="8"/>
        <v>0.235203439141951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77</v>
      </c>
      <c r="E49">
        <f t="shared" si="6"/>
        <v>80</v>
      </c>
      <c r="F49">
        <f t="shared" si="7"/>
        <v>0.032485497883736</v>
      </c>
      <c r="G49">
        <f t="shared" si="8"/>
        <v>0.188162751313561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84</v>
      </c>
      <c r="E50">
        <f t="shared" si="6"/>
        <v>100</v>
      </c>
      <c r="F50">
        <f t="shared" si="7"/>
        <v>0.0303294509825929</v>
      </c>
      <c r="G50">
        <f t="shared" si="8"/>
        <v>0.235203439141951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58</v>
      </c>
      <c r="E51">
        <f t="shared" si="6"/>
        <v>100</v>
      </c>
      <c r="F51">
        <f t="shared" si="7"/>
        <v>0.0303294509825929</v>
      </c>
      <c r="G51">
        <f t="shared" si="8"/>
        <v>0.235203439141951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50</v>
      </c>
      <c r="E52">
        <f t="shared" si="6"/>
        <v>80</v>
      </c>
      <c r="F52">
        <f t="shared" si="7"/>
        <v>0.032485497883736</v>
      </c>
      <c r="G52">
        <f t="shared" si="8"/>
        <v>0.188162751313561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91</v>
      </c>
      <c r="E53">
        <f t="shared" si="6"/>
        <v>100</v>
      </c>
      <c r="F53">
        <f t="shared" si="7"/>
        <v>0.0303294509825929</v>
      </c>
      <c r="G53">
        <f t="shared" si="8"/>
        <v>0.235203439141951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53</v>
      </c>
      <c r="E54">
        <f t="shared" si="6"/>
        <v>125</v>
      </c>
      <c r="F54">
        <f t="shared" si="7"/>
        <v>0.0283811358286925</v>
      </c>
      <c r="G54">
        <f t="shared" si="8"/>
        <v>0.294004298927439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85</v>
      </c>
      <c r="E55">
        <f t="shared" si="6"/>
        <v>125</v>
      </c>
      <c r="F55">
        <f t="shared" si="7"/>
        <v>0.0283811358286925</v>
      </c>
      <c r="G55">
        <f t="shared" si="8"/>
        <v>0.294004298927439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65</v>
      </c>
      <c r="E56">
        <f t="shared" si="6"/>
        <v>100</v>
      </c>
      <c r="F56">
        <f t="shared" si="7"/>
        <v>0.0303294509825929</v>
      </c>
      <c r="G56">
        <f t="shared" si="8"/>
        <v>0.235203439141951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48</v>
      </c>
      <c r="E57">
        <f t="shared" si="6"/>
        <v>100</v>
      </c>
      <c r="F57">
        <f t="shared" si="7"/>
        <v>0.0303294509825929</v>
      </c>
      <c r="G57">
        <f t="shared" si="8"/>
        <v>0.235203439141951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46</v>
      </c>
      <c r="E58">
        <f t="shared" si="6"/>
        <v>125</v>
      </c>
      <c r="F58">
        <f t="shared" si="7"/>
        <v>0.0283811358286925</v>
      </c>
      <c r="G58">
        <f t="shared" si="8"/>
        <v>0.294004298927439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72</v>
      </c>
      <c r="E59">
        <f t="shared" si="6"/>
        <v>150</v>
      </c>
      <c r="F59">
        <f t="shared" si="7"/>
        <v>0.0269252990527845</v>
      </c>
      <c r="G59">
        <f t="shared" si="8"/>
        <v>0.352805158712927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30.4878048780488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63.1113916061849</v>
      </c>
      <c r="E61">
        <f>管径设计!D36</f>
        <v>100</v>
      </c>
      <c r="F61">
        <f t="shared" si="7"/>
        <v>0.0303294509825929</v>
      </c>
      <c r="G61">
        <f t="shared" si="8"/>
        <v>0.235203439141951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60.0600600600601</v>
      </c>
      <c r="E62">
        <f>管径设计!D37</f>
        <v>100</v>
      </c>
      <c r="F62">
        <f t="shared" si="7"/>
        <v>0.0303294509825929</v>
      </c>
      <c r="G62">
        <f t="shared" si="8"/>
        <v>0.235203439141951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66.577896138482</v>
      </c>
      <c r="E63">
        <f>管径设计!D38</f>
        <v>80</v>
      </c>
      <c r="F63">
        <f t="shared" si="7"/>
        <v>0.032485497883736</v>
      </c>
      <c r="G63">
        <f t="shared" si="8"/>
        <v>0.188162751313561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98.5221674876847</v>
      </c>
      <c r="E64">
        <f>管径设计!D39</f>
        <v>100</v>
      </c>
      <c r="F64">
        <f t="shared" si="7"/>
        <v>0.0303294509825929</v>
      </c>
      <c r="G64">
        <f t="shared" si="8"/>
        <v>0.235203439141951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112.359550561798</v>
      </c>
      <c r="E65">
        <f>管径设计!D40</f>
        <v>100</v>
      </c>
      <c r="F65">
        <f t="shared" si="7"/>
        <v>0.0303294509825929</v>
      </c>
      <c r="G65">
        <f t="shared" si="8"/>
        <v>0.235203439141951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72.992700729927</v>
      </c>
      <c r="E66">
        <f>管径设计!D41</f>
        <v>80</v>
      </c>
      <c r="F66">
        <f t="shared" si="7"/>
        <v>0.032485497883736</v>
      </c>
      <c r="G66">
        <f t="shared" si="8"/>
        <v>0.188162751313561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129.032258064516</v>
      </c>
      <c r="E67">
        <f>管径设计!D42</f>
        <v>100</v>
      </c>
      <c r="F67">
        <f t="shared" si="7"/>
        <v>0.0303294509825929</v>
      </c>
      <c r="G67">
        <f t="shared" si="8"/>
        <v>0.235203439141951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105.263157894737</v>
      </c>
      <c r="E68">
        <f>管径设计!D43</f>
        <v>125</v>
      </c>
      <c r="F68">
        <f t="shared" si="7"/>
        <v>0.0283811358286925</v>
      </c>
      <c r="G68">
        <f t="shared" si="8"/>
        <v>0.294004298927439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420.168067226891</v>
      </c>
      <c r="E69">
        <f>管径设计!D44</f>
        <v>125</v>
      </c>
      <c r="F69">
        <f t="shared" si="7"/>
        <v>0.0283811358286925</v>
      </c>
      <c r="G69">
        <f t="shared" si="8"/>
        <v>0.294004298927439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119.760479041916</v>
      </c>
      <c r="E70">
        <f>管径设计!D45</f>
        <v>100</v>
      </c>
      <c r="F70">
        <f t="shared" si="7"/>
        <v>0.0303294509825929</v>
      </c>
      <c r="G70">
        <f t="shared" si="8"/>
        <v>0.235203439141951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175.438596491228</v>
      </c>
      <c r="E71">
        <f>管径设计!D46</f>
        <v>100</v>
      </c>
      <c r="F71">
        <f t="shared" si="7"/>
        <v>0.0303294509825929</v>
      </c>
      <c r="G71">
        <f t="shared" si="8"/>
        <v>0.235203439141951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178.571428571429</v>
      </c>
      <c r="E72">
        <f>管径设计!D47</f>
        <v>125</v>
      </c>
      <c r="F72">
        <f t="shared" si="7"/>
        <v>0.0283811358286925</v>
      </c>
      <c r="G72">
        <f t="shared" si="8"/>
        <v>0.294004298927439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426.439232409382</v>
      </c>
      <c r="E73">
        <f>管径设计!D48</f>
        <v>150</v>
      </c>
      <c r="F73">
        <f t="shared" si="7"/>
        <v>0.0269252990527845</v>
      </c>
      <c r="G73">
        <f t="shared" si="8"/>
        <v>0.352805158712927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345.423143350605</v>
      </c>
      <c r="E74">
        <f>管径设计!D49</f>
        <v>150</v>
      </c>
      <c r="F74">
        <f t="shared" si="7"/>
        <v>0.0269252990527845</v>
      </c>
      <c r="G74">
        <f t="shared" si="8"/>
        <v>0.352805158712927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H20" sqref="H20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26</v>
      </c>
      <c r="C2" s="4">
        <v>28</v>
      </c>
      <c r="D2">
        <v>3</v>
      </c>
      <c r="E2" s="6">
        <v>11</v>
      </c>
      <c r="F2">
        <f>B2*C2*E2</f>
        <v>8008</v>
      </c>
      <c r="G2">
        <v>10</v>
      </c>
      <c r="H2">
        <f>F2*50</f>
        <v>400400</v>
      </c>
      <c r="I2">
        <f t="shared" ref="I2:I16" si="0">H2/1000/10/4.2*3.6</f>
        <v>34.32</v>
      </c>
      <c r="J2">
        <f>H2/(50-20)*1</f>
        <v>13346.6666666667</v>
      </c>
      <c r="K2" t="s">
        <v>48</v>
      </c>
      <c r="L2">
        <f>SUM(I2:I16)</f>
        <v>528.252857142857</v>
      </c>
      <c r="M2">
        <f ca="1">RANDBETWEEN(25,45)</f>
        <v>37</v>
      </c>
      <c r="N2">
        <f ca="1">RANDBETWEEN(10,30)</f>
        <v>22</v>
      </c>
      <c r="O2">
        <f ca="1">RANDBETWEEN(4,15)</f>
        <v>8</v>
      </c>
    </row>
    <row r="3" spans="1:15">
      <c r="A3">
        <v>2</v>
      </c>
      <c r="B3" s="5">
        <v>43</v>
      </c>
      <c r="C3" s="7">
        <v>22</v>
      </c>
      <c r="D3">
        <v>3</v>
      </c>
      <c r="E3" s="6">
        <v>10</v>
      </c>
      <c r="F3">
        <f t="shared" ref="F3:F16" si="1">B3*C3*E3</f>
        <v>9460</v>
      </c>
      <c r="G3">
        <v>10</v>
      </c>
      <c r="H3">
        <f t="shared" ref="H3:H16" si="2">F3*50</f>
        <v>473000</v>
      </c>
      <c r="I3">
        <f t="shared" si="0"/>
        <v>40.5428571428571</v>
      </c>
      <c r="J3">
        <f t="shared" ref="J3:J16" si="3">H3/(50-20)*1</f>
        <v>15766.6666666667</v>
      </c>
      <c r="K3" t="s">
        <v>48</v>
      </c>
      <c r="M3">
        <f ca="1" t="shared" ref="M3:M16" si="4">RANDBETWEEN(25,45)</f>
        <v>29</v>
      </c>
      <c r="N3">
        <f ca="1" t="shared" ref="N3:N16" si="5">RANDBETWEEN(10,30)</f>
        <v>18</v>
      </c>
      <c r="O3">
        <f ca="1" t="shared" ref="O3:O16" si="6">RANDBETWEEN(4,15)</f>
        <v>12</v>
      </c>
    </row>
    <row r="4" spans="1:15">
      <c r="A4">
        <v>3</v>
      </c>
      <c r="B4" s="5">
        <v>34</v>
      </c>
      <c r="C4" s="7">
        <v>19</v>
      </c>
      <c r="D4">
        <v>3</v>
      </c>
      <c r="E4" s="6">
        <v>15</v>
      </c>
      <c r="F4">
        <f t="shared" si="1"/>
        <v>9690</v>
      </c>
      <c r="G4">
        <v>10</v>
      </c>
      <c r="H4">
        <f t="shared" si="2"/>
        <v>484500</v>
      </c>
      <c r="I4">
        <f t="shared" si="0"/>
        <v>41.5285714285714</v>
      </c>
      <c r="J4">
        <f t="shared" si="3"/>
        <v>16150</v>
      </c>
      <c r="K4" t="s">
        <v>48</v>
      </c>
      <c r="M4">
        <f ca="1" t="shared" si="4"/>
        <v>26</v>
      </c>
      <c r="N4">
        <f ca="1" t="shared" si="5"/>
        <v>24</v>
      </c>
      <c r="O4">
        <f ca="1" t="shared" si="6"/>
        <v>15</v>
      </c>
    </row>
    <row r="5" spans="1:15">
      <c r="A5">
        <v>4</v>
      </c>
      <c r="B5" s="5">
        <v>30</v>
      </c>
      <c r="C5" s="7">
        <v>14</v>
      </c>
      <c r="D5">
        <v>3</v>
      </c>
      <c r="E5" s="6">
        <v>13</v>
      </c>
      <c r="F5">
        <f t="shared" si="1"/>
        <v>5460</v>
      </c>
      <c r="G5">
        <v>10</v>
      </c>
      <c r="H5">
        <f t="shared" si="2"/>
        <v>273000</v>
      </c>
      <c r="I5">
        <f t="shared" si="0"/>
        <v>23.4</v>
      </c>
      <c r="J5">
        <f t="shared" si="3"/>
        <v>9100</v>
      </c>
      <c r="K5" t="s">
        <v>48</v>
      </c>
      <c r="M5">
        <f ca="1" t="shared" si="4"/>
        <v>45</v>
      </c>
      <c r="N5">
        <f ca="1" t="shared" si="5"/>
        <v>21</v>
      </c>
      <c r="O5">
        <f ca="1" t="shared" si="6"/>
        <v>11</v>
      </c>
    </row>
    <row r="6" spans="1:15">
      <c r="A6">
        <v>5</v>
      </c>
      <c r="B6" s="5">
        <v>45</v>
      </c>
      <c r="C6" s="7">
        <v>24</v>
      </c>
      <c r="D6">
        <v>3</v>
      </c>
      <c r="E6" s="6">
        <v>7</v>
      </c>
      <c r="F6">
        <f t="shared" si="1"/>
        <v>7560</v>
      </c>
      <c r="G6">
        <v>10</v>
      </c>
      <c r="H6">
        <f t="shared" si="2"/>
        <v>378000</v>
      </c>
      <c r="I6">
        <f t="shared" si="0"/>
        <v>32.4</v>
      </c>
      <c r="J6">
        <f t="shared" si="3"/>
        <v>12600</v>
      </c>
      <c r="K6" t="s">
        <v>48</v>
      </c>
      <c r="M6">
        <f ca="1" t="shared" si="4"/>
        <v>32</v>
      </c>
      <c r="N6">
        <f ca="1" t="shared" si="5"/>
        <v>29</v>
      </c>
      <c r="O6">
        <f ca="1" t="shared" si="6"/>
        <v>13</v>
      </c>
    </row>
    <row r="7" spans="1:15">
      <c r="A7">
        <v>6</v>
      </c>
      <c r="B7" s="5">
        <v>41</v>
      </c>
      <c r="C7" s="7">
        <v>17</v>
      </c>
      <c r="D7">
        <v>3</v>
      </c>
      <c r="E7" s="6">
        <v>10</v>
      </c>
      <c r="F7">
        <f t="shared" si="1"/>
        <v>6970</v>
      </c>
      <c r="G7">
        <v>10</v>
      </c>
      <c r="H7">
        <f t="shared" si="2"/>
        <v>348500</v>
      </c>
      <c r="I7">
        <f t="shared" si="0"/>
        <v>29.8714285714286</v>
      </c>
      <c r="J7">
        <f t="shared" si="3"/>
        <v>11616.6666666667</v>
      </c>
      <c r="K7" t="s">
        <v>48</v>
      </c>
      <c r="M7">
        <f ca="1" t="shared" si="4"/>
        <v>44</v>
      </c>
      <c r="N7">
        <f ca="1" t="shared" si="5"/>
        <v>30</v>
      </c>
      <c r="O7">
        <f ca="1" t="shared" si="6"/>
        <v>10</v>
      </c>
    </row>
    <row r="8" spans="1:15">
      <c r="A8">
        <v>7</v>
      </c>
      <c r="B8" s="5">
        <v>45</v>
      </c>
      <c r="C8" s="7">
        <v>29</v>
      </c>
      <c r="D8">
        <v>3</v>
      </c>
      <c r="E8" s="6">
        <v>4</v>
      </c>
      <c r="F8">
        <f t="shared" si="1"/>
        <v>5220</v>
      </c>
      <c r="G8">
        <v>10</v>
      </c>
      <c r="H8">
        <f t="shared" si="2"/>
        <v>261000</v>
      </c>
      <c r="I8">
        <f t="shared" si="0"/>
        <v>22.3714285714286</v>
      </c>
      <c r="J8">
        <f t="shared" si="3"/>
        <v>8700</v>
      </c>
      <c r="K8" t="s">
        <v>48</v>
      </c>
      <c r="M8">
        <f ca="1" t="shared" si="4"/>
        <v>25</v>
      </c>
      <c r="N8">
        <f ca="1" t="shared" si="5"/>
        <v>14</v>
      </c>
      <c r="O8">
        <f ca="1" t="shared" si="6"/>
        <v>9</v>
      </c>
    </row>
    <row r="9" spans="1:15">
      <c r="A9">
        <v>8</v>
      </c>
      <c r="B9" s="5">
        <v>45</v>
      </c>
      <c r="C9" s="7">
        <v>12</v>
      </c>
      <c r="D9">
        <v>3</v>
      </c>
      <c r="E9" s="6">
        <v>12</v>
      </c>
      <c r="F9">
        <f t="shared" si="1"/>
        <v>6480</v>
      </c>
      <c r="G9">
        <v>10</v>
      </c>
      <c r="H9">
        <f t="shared" si="2"/>
        <v>324000</v>
      </c>
      <c r="I9">
        <f t="shared" si="0"/>
        <v>27.7714285714286</v>
      </c>
      <c r="J9">
        <f t="shared" si="3"/>
        <v>10800</v>
      </c>
      <c r="K9" t="s">
        <v>48</v>
      </c>
      <c r="M9">
        <f ca="1" t="shared" si="4"/>
        <v>39</v>
      </c>
      <c r="N9">
        <f ca="1" t="shared" si="5"/>
        <v>11</v>
      </c>
      <c r="O9">
        <f ca="1" t="shared" si="6"/>
        <v>8</v>
      </c>
    </row>
    <row r="10" spans="1:15">
      <c r="A10">
        <v>9</v>
      </c>
      <c r="B10" s="5">
        <v>38</v>
      </c>
      <c r="C10" s="7">
        <v>23</v>
      </c>
      <c r="D10">
        <v>3</v>
      </c>
      <c r="E10" s="6">
        <v>15</v>
      </c>
      <c r="F10">
        <f t="shared" si="1"/>
        <v>13110</v>
      </c>
      <c r="G10">
        <v>10</v>
      </c>
      <c r="H10">
        <f t="shared" si="2"/>
        <v>655500</v>
      </c>
      <c r="I10">
        <f t="shared" si="0"/>
        <v>56.1857142857143</v>
      </c>
      <c r="J10">
        <f t="shared" si="3"/>
        <v>21850</v>
      </c>
      <c r="K10" t="s">
        <v>48</v>
      </c>
      <c r="M10">
        <f ca="1" t="shared" si="4"/>
        <v>31</v>
      </c>
      <c r="N10">
        <f ca="1" t="shared" si="5"/>
        <v>15</v>
      </c>
      <c r="O10">
        <f ca="1" t="shared" si="6"/>
        <v>7</v>
      </c>
    </row>
    <row r="11" spans="1:15">
      <c r="A11">
        <v>10</v>
      </c>
      <c r="B11" s="5">
        <v>41</v>
      </c>
      <c r="C11" s="7">
        <v>27</v>
      </c>
      <c r="D11">
        <v>3</v>
      </c>
      <c r="E11" s="6">
        <v>6</v>
      </c>
      <c r="F11">
        <f t="shared" si="1"/>
        <v>6642</v>
      </c>
      <c r="G11">
        <v>10</v>
      </c>
      <c r="H11">
        <f t="shared" si="2"/>
        <v>332100</v>
      </c>
      <c r="I11">
        <f t="shared" si="0"/>
        <v>28.4657142857143</v>
      </c>
      <c r="J11">
        <f t="shared" si="3"/>
        <v>11070</v>
      </c>
      <c r="K11" t="s">
        <v>48</v>
      </c>
      <c r="M11">
        <f ca="1" t="shared" si="4"/>
        <v>40</v>
      </c>
      <c r="N11">
        <f ca="1" t="shared" si="5"/>
        <v>29</v>
      </c>
      <c r="O11">
        <f ca="1" t="shared" si="6"/>
        <v>6</v>
      </c>
    </row>
    <row r="12" spans="1:15">
      <c r="A12">
        <v>11</v>
      </c>
      <c r="B12" s="5">
        <v>31</v>
      </c>
      <c r="C12" s="7">
        <v>17</v>
      </c>
      <c r="D12">
        <v>3</v>
      </c>
      <c r="E12" s="6">
        <v>13</v>
      </c>
      <c r="F12">
        <f t="shared" si="1"/>
        <v>6851</v>
      </c>
      <c r="G12">
        <v>10</v>
      </c>
      <c r="H12">
        <f t="shared" si="2"/>
        <v>342550</v>
      </c>
      <c r="I12">
        <f t="shared" si="0"/>
        <v>29.3614285714286</v>
      </c>
      <c r="J12">
        <f t="shared" si="3"/>
        <v>11418.3333333333</v>
      </c>
      <c r="K12" t="s">
        <v>48</v>
      </c>
      <c r="M12">
        <f ca="1" t="shared" si="4"/>
        <v>45</v>
      </c>
      <c r="N12">
        <f ca="1" t="shared" si="5"/>
        <v>26</v>
      </c>
      <c r="O12">
        <f ca="1" t="shared" si="6"/>
        <v>7</v>
      </c>
    </row>
    <row r="13" spans="1:15">
      <c r="A13">
        <v>12</v>
      </c>
      <c r="B13" s="5">
        <v>31</v>
      </c>
      <c r="C13" s="7">
        <v>14</v>
      </c>
      <c r="D13">
        <v>3</v>
      </c>
      <c r="E13" s="6">
        <v>13</v>
      </c>
      <c r="F13">
        <f t="shared" si="1"/>
        <v>5642</v>
      </c>
      <c r="G13">
        <v>10</v>
      </c>
      <c r="H13">
        <f t="shared" si="2"/>
        <v>282100</v>
      </c>
      <c r="I13">
        <f t="shared" si="0"/>
        <v>24.18</v>
      </c>
      <c r="J13">
        <f t="shared" si="3"/>
        <v>9403.33333333333</v>
      </c>
      <c r="K13" t="s">
        <v>48</v>
      </c>
      <c r="M13">
        <f ca="1" t="shared" si="4"/>
        <v>38</v>
      </c>
      <c r="N13">
        <f ca="1" t="shared" si="5"/>
        <v>10</v>
      </c>
      <c r="O13">
        <f ca="1" t="shared" si="6"/>
        <v>11</v>
      </c>
    </row>
    <row r="14" spans="1:15">
      <c r="A14">
        <v>13</v>
      </c>
      <c r="B14" s="5">
        <v>40</v>
      </c>
      <c r="C14" s="7">
        <v>23</v>
      </c>
      <c r="D14">
        <v>3</v>
      </c>
      <c r="E14" s="6">
        <v>11</v>
      </c>
      <c r="F14">
        <f t="shared" si="1"/>
        <v>10120</v>
      </c>
      <c r="G14">
        <v>10</v>
      </c>
      <c r="H14">
        <f t="shared" si="2"/>
        <v>506000</v>
      </c>
      <c r="I14">
        <f t="shared" si="0"/>
        <v>43.3714285714286</v>
      </c>
      <c r="J14">
        <f t="shared" si="3"/>
        <v>16866.6666666667</v>
      </c>
      <c r="K14" t="s">
        <v>48</v>
      </c>
      <c r="M14">
        <f ca="1" t="shared" si="4"/>
        <v>30</v>
      </c>
      <c r="N14">
        <f ca="1" t="shared" si="5"/>
        <v>24</v>
      </c>
      <c r="O14">
        <f ca="1" t="shared" si="6"/>
        <v>5</v>
      </c>
    </row>
    <row r="15" spans="1:15">
      <c r="A15">
        <v>14</v>
      </c>
      <c r="B15" s="5">
        <v>37</v>
      </c>
      <c r="C15" s="7">
        <v>29</v>
      </c>
      <c r="D15">
        <v>3</v>
      </c>
      <c r="E15" s="6">
        <v>10</v>
      </c>
      <c r="F15">
        <f t="shared" si="1"/>
        <v>10730</v>
      </c>
      <c r="G15">
        <v>10</v>
      </c>
      <c r="H15">
        <f t="shared" si="2"/>
        <v>536500</v>
      </c>
      <c r="I15">
        <f t="shared" si="0"/>
        <v>45.9857142857143</v>
      </c>
      <c r="J15">
        <f t="shared" si="3"/>
        <v>17883.3333333333</v>
      </c>
      <c r="K15" t="s">
        <v>48</v>
      </c>
      <c r="M15">
        <f ca="1" t="shared" si="4"/>
        <v>39</v>
      </c>
      <c r="N15">
        <f ca="1" t="shared" si="5"/>
        <v>28</v>
      </c>
      <c r="O15">
        <f ca="1" t="shared" si="6"/>
        <v>15</v>
      </c>
    </row>
    <row r="16" spans="1:15">
      <c r="A16">
        <v>15</v>
      </c>
      <c r="B16" s="10">
        <v>41</v>
      </c>
      <c r="C16" s="12">
        <v>23</v>
      </c>
      <c r="D16">
        <v>3</v>
      </c>
      <c r="E16" s="6">
        <v>12</v>
      </c>
      <c r="F16">
        <f t="shared" si="1"/>
        <v>11316</v>
      </c>
      <c r="G16">
        <v>10</v>
      </c>
      <c r="H16">
        <f t="shared" si="2"/>
        <v>565800</v>
      </c>
      <c r="I16">
        <f t="shared" si="0"/>
        <v>48.4971428571429</v>
      </c>
      <c r="J16">
        <f t="shared" si="3"/>
        <v>18860</v>
      </c>
      <c r="K16" t="s">
        <v>48</v>
      </c>
      <c r="M16">
        <f ca="1" t="shared" si="4"/>
        <v>41</v>
      </c>
      <c r="N16">
        <f ca="1" t="shared" si="5"/>
        <v>27</v>
      </c>
      <c r="O16">
        <f ca="1" t="shared" si="6"/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34" sqref="D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49566.4</v>
      </c>
    </row>
    <row r="3" spans="1:14">
      <c r="A3" s="1" t="s">
        <v>64</v>
      </c>
      <c r="B3">
        <f t="shared" ref="B3:B7" si="0">B4+B20</f>
        <v>528.252857142857</v>
      </c>
      <c r="C3">
        <f>Branch!D2</f>
        <v>33</v>
      </c>
      <c r="D3" s="2">
        <v>350</v>
      </c>
      <c r="E3" s="3">
        <v>1.46</v>
      </c>
      <c r="F3" s="4">
        <v>59.5</v>
      </c>
      <c r="G3">
        <f t="shared" ref="G3:G17" si="1">C3*F3</f>
        <v>1963.5</v>
      </c>
      <c r="J3">
        <f>L$2*E3*D3/1000/M$2</f>
        <v>511000</v>
      </c>
      <c r="K3">
        <f>1/(1.14+2*LOG10((D3/0.5)))^2</f>
        <v>0.0214355019129582</v>
      </c>
    </row>
    <row r="4" spans="1:14">
      <c r="A4" t="s">
        <v>65</v>
      </c>
      <c r="B4">
        <f t="shared" si="0"/>
        <v>493.932857142857</v>
      </c>
      <c r="C4">
        <f>Branch!D3</f>
        <v>68</v>
      </c>
      <c r="D4" s="5">
        <v>350</v>
      </c>
      <c r="E4" s="6">
        <v>1.37</v>
      </c>
      <c r="F4" s="7">
        <v>52.8</v>
      </c>
      <c r="G4">
        <f t="shared" si="1"/>
        <v>3590.4</v>
      </c>
      <c r="J4">
        <f>L$2*E4*D4/1000/M$2</f>
        <v>479500</v>
      </c>
      <c r="K4">
        <f>1/(1.14+2*LOG10((D4/0.5)))^2</f>
        <v>0.0214355019129582</v>
      </c>
    </row>
    <row r="5" spans="1:14">
      <c r="A5" t="s">
        <v>66</v>
      </c>
      <c r="B5">
        <f t="shared" si="0"/>
        <v>453.39</v>
      </c>
      <c r="C5">
        <f>Branch!D4</f>
        <v>73</v>
      </c>
      <c r="D5" s="5">
        <v>350</v>
      </c>
      <c r="E5" s="6">
        <v>1.26</v>
      </c>
      <c r="F5" s="7">
        <v>44.6</v>
      </c>
      <c r="G5">
        <f t="shared" si="1"/>
        <v>3255.8</v>
      </c>
      <c r="J5">
        <f>L$2*E5*D5/1000/M$2</f>
        <v>441000</v>
      </c>
      <c r="K5">
        <f>1/(1.14+2*LOG10((D5/0.5)))^2</f>
        <v>0.0214355019129582</v>
      </c>
    </row>
    <row r="6" spans="1:14">
      <c r="A6" t="s">
        <v>67</v>
      </c>
      <c r="B6">
        <f t="shared" si="0"/>
        <v>411.861428571428</v>
      </c>
      <c r="C6">
        <f>Branch!D5</f>
        <v>60</v>
      </c>
      <c r="D6" s="5">
        <v>350</v>
      </c>
      <c r="E6" s="6">
        <v>1.15</v>
      </c>
      <c r="F6" s="7">
        <v>38</v>
      </c>
      <c r="G6">
        <f t="shared" si="1"/>
        <v>2280</v>
      </c>
      <c r="J6">
        <f>L$2*E6*D6/1000/M$2</f>
        <v>402500</v>
      </c>
      <c r="K6">
        <f>1/(1.14+2*LOG10((D6/0.5)))^2</f>
        <v>0.0214355019129582</v>
      </c>
    </row>
    <row r="7" spans="1:14">
      <c r="A7" t="s">
        <v>68</v>
      </c>
      <c r="B7">
        <f t="shared" si="0"/>
        <v>388.461428571428</v>
      </c>
      <c r="C7">
        <f>Branch!D6</f>
        <v>94</v>
      </c>
      <c r="D7" s="5">
        <v>350</v>
      </c>
      <c r="E7" s="6">
        <v>1.09</v>
      </c>
      <c r="F7" s="7">
        <v>33.5</v>
      </c>
      <c r="G7">
        <f t="shared" si="1"/>
        <v>3149</v>
      </c>
      <c r="J7">
        <f t="shared" ref="J7:J17" si="2">L$2*E7*D7/1000/M$2</f>
        <v>381500</v>
      </c>
      <c r="K7">
        <f t="shared" ref="K7:K17" si="3">1/(1.14+2*LOG10((D7/0.5)))^2</f>
        <v>0.0214355019129582</v>
      </c>
    </row>
    <row r="8" spans="1:14">
      <c r="A8" t="s">
        <v>69</v>
      </c>
      <c r="B8">
        <f t="shared" ref="B8:B16" si="4">B9+B25</f>
        <v>356.061428571429</v>
      </c>
      <c r="C8">
        <f>Branch!D7</f>
        <v>64</v>
      </c>
      <c r="D8" s="5">
        <v>300</v>
      </c>
      <c r="E8" s="6">
        <v>1.37</v>
      </c>
      <c r="F8" s="7">
        <v>64.3</v>
      </c>
      <c r="G8">
        <f t="shared" si="1"/>
        <v>4115.2</v>
      </c>
      <c r="J8">
        <f t="shared" si="2"/>
        <v>411000</v>
      </c>
      <c r="K8">
        <f t="shared" si="3"/>
        <v>0.0223012841491152</v>
      </c>
    </row>
    <row r="9" spans="1:14">
      <c r="A9" t="s">
        <v>70</v>
      </c>
      <c r="B9">
        <f t="shared" si="4"/>
        <v>326.19</v>
      </c>
      <c r="C9">
        <f>Branch!D8</f>
        <v>84</v>
      </c>
      <c r="D9" s="5">
        <v>300</v>
      </c>
      <c r="E9" s="6">
        <v>1.26</v>
      </c>
      <c r="F9" s="7">
        <v>54</v>
      </c>
      <c r="G9">
        <f t="shared" si="1"/>
        <v>4536</v>
      </c>
      <c r="J9">
        <f t="shared" si="2"/>
        <v>378000</v>
      </c>
      <c r="K9">
        <f t="shared" si="3"/>
        <v>0.0223012841491152</v>
      </c>
    </row>
    <row r="10" spans="1:14">
      <c r="A10" t="s">
        <v>71</v>
      </c>
      <c r="B10">
        <f t="shared" si="4"/>
        <v>303.818571428571</v>
      </c>
      <c r="C10">
        <f>Branch!D9</f>
        <v>92</v>
      </c>
      <c r="D10" s="5">
        <v>300</v>
      </c>
      <c r="E10" s="6">
        <v>1.15</v>
      </c>
      <c r="F10" s="7">
        <v>44.7</v>
      </c>
      <c r="G10">
        <f t="shared" si="1"/>
        <v>4112.4</v>
      </c>
      <c r="J10">
        <f t="shared" si="2"/>
        <v>345000</v>
      </c>
      <c r="K10">
        <f t="shared" si="3"/>
        <v>0.0223012841491152</v>
      </c>
    </row>
    <row r="11" spans="1:14">
      <c r="A11" t="s">
        <v>72</v>
      </c>
      <c r="B11">
        <f t="shared" si="4"/>
        <v>276.047142857143</v>
      </c>
      <c r="C11">
        <f>Branch!D10</f>
        <v>86</v>
      </c>
      <c r="D11" s="5">
        <v>300</v>
      </c>
      <c r="E11" s="6">
        <v>1.07</v>
      </c>
      <c r="F11" s="7">
        <v>38.9</v>
      </c>
      <c r="G11">
        <f t="shared" si="1"/>
        <v>3345.4</v>
      </c>
      <c r="J11">
        <f t="shared" si="2"/>
        <v>321000</v>
      </c>
      <c r="K11">
        <f t="shared" si="3"/>
        <v>0.0223012841491152</v>
      </c>
    </row>
    <row r="12" spans="1:14">
      <c r="A12" s="8" t="s">
        <v>73</v>
      </c>
      <c r="B12">
        <f t="shared" si="4"/>
        <v>219.861428571429</v>
      </c>
      <c r="C12">
        <f>Branch!D11</f>
        <v>76</v>
      </c>
      <c r="D12" s="5">
        <v>250</v>
      </c>
      <c r="E12" s="6">
        <v>1.19</v>
      </c>
      <c r="F12" s="7">
        <v>60.4</v>
      </c>
      <c r="G12">
        <f t="shared" si="1"/>
        <v>4590.4</v>
      </c>
      <c r="J12">
        <f t="shared" si="2"/>
        <v>297500</v>
      </c>
      <c r="K12">
        <f t="shared" si="3"/>
        <v>0.0233947353976847</v>
      </c>
    </row>
    <row r="13" spans="1:14">
      <c r="A13" s="8" t="s">
        <v>74</v>
      </c>
      <c r="B13">
        <f t="shared" si="4"/>
        <v>191.395714285714</v>
      </c>
      <c r="C13">
        <f>Branch!D12</f>
        <v>70</v>
      </c>
      <c r="D13" s="5">
        <v>250</v>
      </c>
      <c r="E13" s="6">
        <v>1.03</v>
      </c>
      <c r="F13" s="7">
        <v>45</v>
      </c>
      <c r="G13">
        <f t="shared" si="1"/>
        <v>3150</v>
      </c>
      <c r="J13">
        <f t="shared" si="2"/>
        <v>257500</v>
      </c>
      <c r="K13">
        <f t="shared" si="3"/>
        <v>0.0233947353976847</v>
      </c>
    </row>
    <row r="14" spans="1:14">
      <c r="A14" s="8" t="s">
        <v>75</v>
      </c>
      <c r="B14">
        <f t="shared" si="4"/>
        <v>162.034285714286</v>
      </c>
      <c r="C14">
        <f>Branch!D13</f>
        <v>76</v>
      </c>
      <c r="D14" s="5">
        <v>250</v>
      </c>
      <c r="E14" s="6">
        <v>0.87</v>
      </c>
      <c r="F14" s="7">
        <v>31.9</v>
      </c>
      <c r="G14">
        <f t="shared" si="1"/>
        <v>2424.4</v>
      </c>
      <c r="J14">
        <f t="shared" si="2"/>
        <v>217500</v>
      </c>
      <c r="K14">
        <f t="shared" si="3"/>
        <v>0.0233947353976847</v>
      </c>
    </row>
    <row r="15" spans="1:14">
      <c r="A15" s="8" t="s">
        <v>76</v>
      </c>
      <c r="B15">
        <f t="shared" si="4"/>
        <v>137.854285714286</v>
      </c>
      <c r="C15">
        <f>Branch!D14</f>
        <v>46</v>
      </c>
      <c r="D15" s="5">
        <v>250</v>
      </c>
      <c r="E15" s="6">
        <v>0.73</v>
      </c>
      <c r="F15" s="7">
        <v>22.7</v>
      </c>
      <c r="G15">
        <f t="shared" si="1"/>
        <v>1044.2</v>
      </c>
      <c r="J15">
        <f t="shared" si="2"/>
        <v>182500</v>
      </c>
      <c r="K15">
        <f t="shared" si="3"/>
        <v>0.0233947353976847</v>
      </c>
    </row>
    <row r="16" spans="1:14">
      <c r="A16" s="8" t="s">
        <v>77</v>
      </c>
      <c r="B16">
        <f t="shared" si="4"/>
        <v>94.4828571428571</v>
      </c>
      <c r="C16">
        <f>Branch!D15</f>
        <v>96</v>
      </c>
      <c r="D16" s="9">
        <v>200</v>
      </c>
      <c r="E16" s="6">
        <v>0.82</v>
      </c>
      <c r="F16" s="7">
        <v>38.2</v>
      </c>
      <c r="G16">
        <f t="shared" si="1"/>
        <v>3667.2</v>
      </c>
      <c r="J16">
        <f t="shared" si="2"/>
        <v>164000</v>
      </c>
      <c r="K16">
        <f t="shared" si="3"/>
        <v>0.0248460425197335</v>
      </c>
    </row>
    <row r="17" spans="1:11">
      <c r="A17" s="8" t="s">
        <v>78</v>
      </c>
      <c r="B17">
        <f>Building!I16</f>
        <v>48.4971428571429</v>
      </c>
      <c r="C17">
        <f>Branch!D16</f>
        <v>75</v>
      </c>
      <c r="D17" s="5">
        <v>150</v>
      </c>
      <c r="E17" s="6">
        <v>0.82</v>
      </c>
      <c r="F17" s="7">
        <v>57.9</v>
      </c>
      <c r="G17">
        <f t="shared" si="1"/>
        <v>4342.5</v>
      </c>
      <c r="J17">
        <f t="shared" si="2"/>
        <v>123000</v>
      </c>
      <c r="K17">
        <f t="shared" si="3"/>
        <v>0.0269252990527845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34.32</v>
      </c>
      <c r="C20">
        <f>Branch!D17</f>
        <v>36</v>
      </c>
      <c r="D20" s="5">
        <v>80</v>
      </c>
      <c r="E20" s="6">
        <v>1.87</v>
      </c>
      <c r="F20" s="7">
        <v>656</v>
      </c>
      <c r="G20">
        <f t="shared" ref="G20:G33" si="5">C20*F20</f>
        <v>23616</v>
      </c>
      <c r="H20">
        <f>N$2-G3</f>
        <v>47602.9</v>
      </c>
      <c r="I20">
        <f>H20/C20</f>
        <v>1322.30277777778</v>
      </c>
      <c r="J20">
        <f>L$2*E20*D20/1000/M$2</f>
        <v>149600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40.5428571428571</v>
      </c>
      <c r="C21">
        <f>Branch!D18</f>
        <v>93</v>
      </c>
      <c r="D21" s="5">
        <v>100</v>
      </c>
      <c r="E21" s="6">
        <v>1.48</v>
      </c>
      <c r="F21" s="7">
        <v>316.9</v>
      </c>
      <c r="G21">
        <f t="shared" si="5"/>
        <v>29471.7</v>
      </c>
      <c r="H21">
        <f t="shared" ref="H21:H28" si="7">H20-G4</f>
        <v>44012.5</v>
      </c>
      <c r="I21">
        <f t="shared" ref="I21:I33" si="8">H21/C21</f>
        <v>473.252688172043</v>
      </c>
      <c r="J21">
        <f t="shared" ref="J21:J33" si="9">L$2*E21*D21/1000/M$2</f>
        <v>148000</v>
      </c>
      <c r="K21">
        <f t="shared" si="6"/>
        <v>0.0303294509825929</v>
      </c>
    </row>
    <row r="22" spans="1:11">
      <c r="A22" s="8" t="s">
        <v>82</v>
      </c>
      <c r="B22">
        <f>Building!I4</f>
        <v>41.5285714285714</v>
      </c>
      <c r="C22">
        <f>Branch!D19</f>
        <v>74</v>
      </c>
      <c r="D22" s="5">
        <v>100</v>
      </c>
      <c r="E22" s="6">
        <v>1.51</v>
      </c>
      <c r="F22" s="7">
        <v>333</v>
      </c>
      <c r="G22">
        <f t="shared" si="5"/>
        <v>24642</v>
      </c>
      <c r="H22">
        <f t="shared" si="7"/>
        <v>40756.7</v>
      </c>
      <c r="I22">
        <f t="shared" si="8"/>
        <v>550.766216216216</v>
      </c>
      <c r="J22">
        <f t="shared" si="9"/>
        <v>151000</v>
      </c>
      <c r="K22">
        <f t="shared" si="6"/>
        <v>0.0303294509825929</v>
      </c>
    </row>
    <row r="23" spans="1:11">
      <c r="A23" s="8" t="s">
        <v>83</v>
      </c>
      <c r="B23">
        <f>Building!I5</f>
        <v>23.4</v>
      </c>
      <c r="C23">
        <f>Branch!D20</f>
        <v>77</v>
      </c>
      <c r="D23" s="5">
        <v>80</v>
      </c>
      <c r="E23" s="6">
        <v>1.26</v>
      </c>
      <c r="F23" s="7">
        <v>300.4</v>
      </c>
      <c r="G23">
        <f t="shared" si="5"/>
        <v>23130.8</v>
      </c>
      <c r="H23">
        <f t="shared" si="7"/>
        <v>38476.7</v>
      </c>
      <c r="I23">
        <f t="shared" si="8"/>
        <v>499.697402597403</v>
      </c>
      <c r="J23">
        <f t="shared" si="9"/>
        <v>100800</v>
      </c>
      <c r="K23">
        <f t="shared" si="6"/>
        <v>0.032485497883736</v>
      </c>
    </row>
    <row r="24" spans="1:11">
      <c r="A24" s="8" t="s">
        <v>84</v>
      </c>
      <c r="B24">
        <f>Building!I6</f>
        <v>32.4</v>
      </c>
      <c r="C24">
        <f>Branch!D21</f>
        <v>84</v>
      </c>
      <c r="D24" s="5">
        <v>100</v>
      </c>
      <c r="E24" s="6">
        <v>1.18</v>
      </c>
      <c r="F24" s="7">
        <v>203</v>
      </c>
      <c r="G24">
        <f t="shared" si="5"/>
        <v>17052</v>
      </c>
      <c r="H24">
        <f t="shared" si="7"/>
        <v>35327.7</v>
      </c>
      <c r="I24">
        <f t="shared" si="8"/>
        <v>420.567857142857</v>
      </c>
      <c r="J24">
        <f t="shared" si="9"/>
        <v>118000</v>
      </c>
      <c r="K24">
        <f t="shared" si="6"/>
        <v>0.0303294509825929</v>
      </c>
    </row>
    <row r="25" spans="1:11">
      <c r="A25" s="8" t="s">
        <v>85</v>
      </c>
      <c r="B25">
        <f>Building!I7</f>
        <v>29.8714285714286</v>
      </c>
      <c r="C25">
        <f>Branch!D22</f>
        <v>58</v>
      </c>
      <c r="D25" s="5">
        <v>100</v>
      </c>
      <c r="E25" s="6">
        <v>1.11</v>
      </c>
      <c r="F25" s="7">
        <v>178</v>
      </c>
      <c r="G25">
        <f t="shared" si="5"/>
        <v>10324</v>
      </c>
      <c r="H25">
        <f t="shared" si="7"/>
        <v>31212.5</v>
      </c>
      <c r="I25">
        <f t="shared" si="8"/>
        <v>538.146551724138</v>
      </c>
      <c r="J25">
        <f t="shared" si="9"/>
        <v>111000</v>
      </c>
      <c r="K25">
        <f t="shared" si="6"/>
        <v>0.0303294509825929</v>
      </c>
    </row>
    <row r="26" spans="1:11">
      <c r="A26" s="8" t="s">
        <v>86</v>
      </c>
      <c r="B26">
        <f>Building!I8</f>
        <v>22.3714285714286</v>
      </c>
      <c r="C26">
        <f>Branch!D23</f>
        <v>50</v>
      </c>
      <c r="D26" s="5">
        <v>80</v>
      </c>
      <c r="E26" s="6">
        <v>1.21</v>
      </c>
      <c r="F26" s="7">
        <v>274</v>
      </c>
      <c r="G26">
        <f t="shared" si="5"/>
        <v>13700</v>
      </c>
      <c r="H26">
        <f t="shared" si="7"/>
        <v>26676.5</v>
      </c>
      <c r="I26">
        <f t="shared" si="8"/>
        <v>533.53</v>
      </c>
      <c r="J26">
        <f t="shared" si="9"/>
        <v>96800</v>
      </c>
      <c r="K26">
        <f t="shared" si="6"/>
        <v>0.032485497883736</v>
      </c>
    </row>
    <row r="27" spans="1:11">
      <c r="A27" s="8" t="s">
        <v>87</v>
      </c>
      <c r="B27">
        <f>Building!I9</f>
        <v>27.7714285714286</v>
      </c>
      <c r="C27">
        <f>Branch!D24</f>
        <v>91</v>
      </c>
      <c r="D27" s="5">
        <v>100</v>
      </c>
      <c r="E27" s="6">
        <v>1.03</v>
      </c>
      <c r="F27" s="7">
        <v>155</v>
      </c>
      <c r="G27">
        <f t="shared" si="5"/>
        <v>14105</v>
      </c>
      <c r="H27">
        <f t="shared" si="7"/>
        <v>22564.1</v>
      </c>
      <c r="I27">
        <f t="shared" si="8"/>
        <v>247.957142857143</v>
      </c>
      <c r="J27">
        <f t="shared" si="9"/>
        <v>103000</v>
      </c>
      <c r="K27">
        <f t="shared" si="6"/>
        <v>0.0303294509825929</v>
      </c>
    </row>
    <row r="28" spans="1:11">
      <c r="A28" s="8" t="s">
        <v>88</v>
      </c>
      <c r="B28">
        <f>Building!I10</f>
        <v>56.1857142857143</v>
      </c>
      <c r="C28">
        <f>Branch!D25</f>
        <v>53</v>
      </c>
      <c r="D28" s="5">
        <v>125</v>
      </c>
      <c r="E28" s="6">
        <v>1.32</v>
      </c>
      <c r="F28" s="7">
        <v>190</v>
      </c>
      <c r="G28">
        <f t="shared" si="5"/>
        <v>10070</v>
      </c>
      <c r="H28">
        <f t="shared" si="7"/>
        <v>19218.7</v>
      </c>
      <c r="I28">
        <f t="shared" si="8"/>
        <v>362.616981132075</v>
      </c>
      <c r="J28">
        <f t="shared" si="9"/>
        <v>165000</v>
      </c>
      <c r="K28">
        <f t="shared" si="6"/>
        <v>0.0283811358286925</v>
      </c>
    </row>
    <row r="29" spans="1:11">
      <c r="A29" s="8" t="s">
        <v>89</v>
      </c>
      <c r="B29">
        <f>Building!I11</f>
        <v>28.4657142857143</v>
      </c>
      <c r="C29">
        <f>Branch!D26</f>
        <v>85</v>
      </c>
      <c r="D29" s="5">
        <v>125</v>
      </c>
      <c r="E29" s="6">
        <v>0.66</v>
      </c>
      <c r="F29" s="7">
        <v>47.6</v>
      </c>
      <c r="G29">
        <f t="shared" si="5"/>
        <v>4046</v>
      </c>
      <c r="H29">
        <f t="shared" ref="H29:H33" si="10">H28-G12</f>
        <v>14628.3</v>
      </c>
      <c r="I29">
        <f t="shared" si="8"/>
        <v>172.097647058823</v>
      </c>
      <c r="J29">
        <f t="shared" si="9"/>
        <v>82500</v>
      </c>
      <c r="K29">
        <f t="shared" si="6"/>
        <v>0.0283811358286925</v>
      </c>
    </row>
    <row r="30" spans="1:11">
      <c r="A30" s="8" t="s">
        <v>90</v>
      </c>
      <c r="B30">
        <f>Building!I12</f>
        <v>29.3614285714286</v>
      </c>
      <c r="C30">
        <f>Branch!D27</f>
        <v>65</v>
      </c>
      <c r="D30" s="5">
        <v>100</v>
      </c>
      <c r="E30" s="6">
        <v>1.07</v>
      </c>
      <c r="F30" s="7">
        <v>167</v>
      </c>
      <c r="G30">
        <f t="shared" si="5"/>
        <v>10855</v>
      </c>
      <c r="H30">
        <f t="shared" si="10"/>
        <v>11478.3</v>
      </c>
      <c r="I30">
        <f t="shared" si="8"/>
        <v>176.589230769231</v>
      </c>
      <c r="J30">
        <f t="shared" si="9"/>
        <v>107000</v>
      </c>
      <c r="K30">
        <f t="shared" si="6"/>
        <v>0.0303294509825929</v>
      </c>
    </row>
    <row r="31" spans="1:11">
      <c r="A31" s="8" t="s">
        <v>91</v>
      </c>
      <c r="B31">
        <f>Building!I13</f>
        <v>24.18</v>
      </c>
      <c r="C31">
        <f>Branch!D28</f>
        <v>48</v>
      </c>
      <c r="D31" s="5">
        <v>100</v>
      </c>
      <c r="E31" s="6">
        <v>0.89</v>
      </c>
      <c r="F31" s="7">
        <v>114</v>
      </c>
      <c r="G31">
        <f t="shared" si="5"/>
        <v>5472</v>
      </c>
      <c r="H31">
        <f t="shared" si="10"/>
        <v>9053.89999999999</v>
      </c>
      <c r="I31">
        <f t="shared" si="8"/>
        <v>188.622916666667</v>
      </c>
      <c r="J31">
        <f t="shared" si="9"/>
        <v>89000</v>
      </c>
      <c r="K31">
        <f t="shared" si="6"/>
        <v>0.0303294509825929</v>
      </c>
    </row>
    <row r="32" spans="1:11">
      <c r="A32" s="8" t="s">
        <v>92</v>
      </c>
      <c r="B32">
        <f>Building!I14</f>
        <v>43.3714285714286</v>
      </c>
      <c r="C32">
        <f>Branch!D29</f>
        <v>46</v>
      </c>
      <c r="D32" s="5">
        <v>125</v>
      </c>
      <c r="E32" s="6">
        <v>1.02</v>
      </c>
      <c r="F32" s="7">
        <v>112</v>
      </c>
      <c r="G32">
        <f t="shared" si="5"/>
        <v>5152</v>
      </c>
      <c r="H32">
        <f t="shared" si="10"/>
        <v>8009.69999999999</v>
      </c>
      <c r="I32">
        <f t="shared" si="8"/>
        <v>174.123913043478</v>
      </c>
      <c r="J32">
        <f t="shared" si="9"/>
        <v>127500</v>
      </c>
      <c r="K32">
        <f t="shared" si="6"/>
        <v>0.0283811358286925</v>
      </c>
    </row>
    <row r="33" spans="1:11">
      <c r="A33" s="8" t="s">
        <v>93</v>
      </c>
      <c r="B33">
        <f>Building!I15</f>
        <v>45.9857142857143</v>
      </c>
      <c r="C33">
        <f>Branch!D30</f>
        <v>72</v>
      </c>
      <c r="D33" s="10">
        <v>150</v>
      </c>
      <c r="E33" s="11">
        <v>0.74</v>
      </c>
      <c r="F33" s="12">
        <v>46.9</v>
      </c>
      <c r="G33">
        <f t="shared" si="5"/>
        <v>3376.8</v>
      </c>
      <c r="H33">
        <f t="shared" si="10"/>
        <v>4342.49999999999</v>
      </c>
      <c r="I33">
        <f t="shared" si="8"/>
        <v>60.3124999999999</v>
      </c>
      <c r="J33">
        <f t="shared" si="9"/>
        <v>111000</v>
      </c>
      <c r="K33">
        <f t="shared" si="6"/>
        <v>0.0269252990527845</v>
      </c>
    </row>
    <row r="35" spans="1:11">
      <c r="A35" s="13" t="s">
        <v>94</v>
      </c>
      <c r="B35">
        <f>B20</f>
        <v>34.32</v>
      </c>
      <c r="C35">
        <f t="shared" ref="C35:C49" si="11">H35/F35</f>
        <v>30.4878048780488</v>
      </c>
      <c r="D35">
        <f>D20</f>
        <v>80</v>
      </c>
      <c r="E35">
        <f t="shared" ref="E35:F35" si="12">E20</f>
        <v>1.87</v>
      </c>
      <c r="F35">
        <f t="shared" si="12"/>
        <v>656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149600</v>
      </c>
      <c r="K35">
        <f t="shared" ref="K35:K49" si="15">1/(1.14+2*LOG10((D35/0.5)))^2</f>
        <v>0.032485497883736</v>
      </c>
    </row>
    <row r="36" spans="1:11">
      <c r="A36" s="13" t="s">
        <v>95</v>
      </c>
      <c r="B36">
        <f t="shared" ref="B36:B48" si="16">B21</f>
        <v>40.5428571428571</v>
      </c>
      <c r="C36">
        <f t="shared" si="11"/>
        <v>63.1113916061849</v>
      </c>
      <c r="D36">
        <f t="shared" ref="D36:F36" si="17">D21</f>
        <v>100</v>
      </c>
      <c r="E36">
        <f t="shared" si="17"/>
        <v>1.48</v>
      </c>
      <c r="F36">
        <f t="shared" si="17"/>
        <v>316.9</v>
      </c>
      <c r="G36">
        <f t="shared" si="13"/>
        <v>20000</v>
      </c>
      <c r="H36">
        <v>20000</v>
      </c>
      <c r="I36">
        <v>100</v>
      </c>
      <c r="J36">
        <f t="shared" si="14"/>
        <v>148000</v>
      </c>
      <c r="K36">
        <f t="shared" si="15"/>
        <v>0.0303294509825929</v>
      </c>
    </row>
    <row r="37" spans="1:11">
      <c r="A37" s="13" t="s">
        <v>96</v>
      </c>
      <c r="B37">
        <f t="shared" si="16"/>
        <v>41.5285714285714</v>
      </c>
      <c r="C37">
        <f t="shared" si="11"/>
        <v>60.0600600600601</v>
      </c>
      <c r="D37">
        <f t="shared" ref="D37:F37" si="18">D22</f>
        <v>100</v>
      </c>
      <c r="E37">
        <f t="shared" si="18"/>
        <v>1.51</v>
      </c>
      <c r="F37">
        <f t="shared" si="18"/>
        <v>333</v>
      </c>
      <c r="G37">
        <f t="shared" si="13"/>
        <v>20000</v>
      </c>
      <c r="H37">
        <v>20000</v>
      </c>
      <c r="I37">
        <v>100</v>
      </c>
      <c r="J37">
        <f t="shared" si="14"/>
        <v>151000</v>
      </c>
      <c r="K37">
        <f t="shared" si="15"/>
        <v>0.0303294509825929</v>
      </c>
    </row>
    <row r="38" spans="1:11">
      <c r="A38" s="13" t="s">
        <v>97</v>
      </c>
      <c r="B38">
        <f t="shared" si="16"/>
        <v>23.4</v>
      </c>
      <c r="C38">
        <f t="shared" si="11"/>
        <v>66.577896138482</v>
      </c>
      <c r="D38">
        <f t="shared" ref="D38:F38" si="19">D23</f>
        <v>80</v>
      </c>
      <c r="E38">
        <f t="shared" si="19"/>
        <v>1.26</v>
      </c>
      <c r="F38">
        <f t="shared" si="19"/>
        <v>300.4</v>
      </c>
      <c r="G38">
        <f t="shared" si="13"/>
        <v>20000</v>
      </c>
      <c r="H38">
        <v>20000</v>
      </c>
      <c r="I38">
        <v>100</v>
      </c>
      <c r="J38">
        <f t="shared" si="14"/>
        <v>100800</v>
      </c>
      <c r="K38">
        <f t="shared" si="15"/>
        <v>0.032485497883736</v>
      </c>
    </row>
    <row r="39" spans="1:11">
      <c r="A39" s="13" t="s">
        <v>98</v>
      </c>
      <c r="B39">
        <f t="shared" si="16"/>
        <v>32.4</v>
      </c>
      <c r="C39">
        <f t="shared" si="11"/>
        <v>98.5221674876847</v>
      </c>
      <c r="D39">
        <f t="shared" ref="D39:F39" si="20">D24</f>
        <v>100</v>
      </c>
      <c r="E39">
        <f t="shared" si="20"/>
        <v>1.18</v>
      </c>
      <c r="F39">
        <f t="shared" si="20"/>
        <v>203</v>
      </c>
      <c r="G39">
        <f t="shared" si="13"/>
        <v>20000</v>
      </c>
      <c r="H39">
        <v>20000</v>
      </c>
      <c r="I39">
        <v>100</v>
      </c>
      <c r="J39">
        <f t="shared" si="14"/>
        <v>118000</v>
      </c>
      <c r="K39">
        <f t="shared" si="15"/>
        <v>0.0303294509825929</v>
      </c>
    </row>
    <row r="40" spans="1:11">
      <c r="A40" s="13" t="s">
        <v>99</v>
      </c>
      <c r="B40">
        <f t="shared" si="16"/>
        <v>29.8714285714286</v>
      </c>
      <c r="C40">
        <f t="shared" si="11"/>
        <v>112.359550561798</v>
      </c>
      <c r="D40">
        <f t="shared" ref="D40:F40" si="21">D25</f>
        <v>100</v>
      </c>
      <c r="E40">
        <f t="shared" si="21"/>
        <v>1.11</v>
      </c>
      <c r="F40">
        <f t="shared" si="21"/>
        <v>178</v>
      </c>
      <c r="G40">
        <f t="shared" si="13"/>
        <v>20000</v>
      </c>
      <c r="H40">
        <v>20000</v>
      </c>
      <c r="J40">
        <f t="shared" si="14"/>
        <v>111000</v>
      </c>
      <c r="K40">
        <f t="shared" si="15"/>
        <v>0.0303294509825929</v>
      </c>
    </row>
    <row r="41" spans="1:11">
      <c r="A41" s="13" t="s">
        <v>100</v>
      </c>
      <c r="B41">
        <f t="shared" si="16"/>
        <v>22.3714285714286</v>
      </c>
      <c r="C41">
        <f t="shared" si="11"/>
        <v>72.992700729927</v>
      </c>
      <c r="D41">
        <f t="shared" ref="D41:F41" si="22">D26</f>
        <v>80</v>
      </c>
      <c r="E41">
        <f t="shared" si="22"/>
        <v>1.21</v>
      </c>
      <c r="F41">
        <f t="shared" si="22"/>
        <v>274</v>
      </c>
      <c r="G41">
        <f t="shared" si="13"/>
        <v>20000</v>
      </c>
      <c r="H41">
        <v>20000</v>
      </c>
      <c r="J41">
        <f t="shared" si="14"/>
        <v>96800</v>
      </c>
      <c r="K41">
        <f t="shared" si="15"/>
        <v>0.032485497883736</v>
      </c>
    </row>
    <row r="42" spans="1:11">
      <c r="A42" s="13" t="s">
        <v>101</v>
      </c>
      <c r="B42">
        <f t="shared" si="16"/>
        <v>27.7714285714286</v>
      </c>
      <c r="C42">
        <f t="shared" si="11"/>
        <v>129.032258064516</v>
      </c>
      <c r="D42">
        <f t="shared" ref="D42:F42" si="23">D27</f>
        <v>100</v>
      </c>
      <c r="E42">
        <f t="shared" si="23"/>
        <v>1.03</v>
      </c>
      <c r="F42">
        <f t="shared" si="23"/>
        <v>155</v>
      </c>
      <c r="G42">
        <f t="shared" si="13"/>
        <v>20000</v>
      </c>
      <c r="H42">
        <v>20000</v>
      </c>
      <c r="J42">
        <f t="shared" si="14"/>
        <v>103000</v>
      </c>
      <c r="K42">
        <f t="shared" si="15"/>
        <v>0.0303294509825929</v>
      </c>
    </row>
    <row r="43" spans="1:11">
      <c r="A43" s="13" t="s">
        <v>102</v>
      </c>
      <c r="B43">
        <f t="shared" si="16"/>
        <v>56.1857142857143</v>
      </c>
      <c r="C43">
        <f t="shared" si="11"/>
        <v>105.263157894737</v>
      </c>
      <c r="D43">
        <f t="shared" ref="D43:F43" si="24">D28</f>
        <v>125</v>
      </c>
      <c r="E43">
        <f t="shared" si="24"/>
        <v>1.32</v>
      </c>
      <c r="F43">
        <f t="shared" si="24"/>
        <v>190</v>
      </c>
      <c r="G43">
        <f t="shared" si="13"/>
        <v>20000</v>
      </c>
      <c r="H43">
        <v>20000</v>
      </c>
      <c r="J43">
        <f t="shared" si="14"/>
        <v>165000</v>
      </c>
      <c r="K43">
        <f t="shared" si="15"/>
        <v>0.0283811358286925</v>
      </c>
    </row>
    <row r="44" spans="1:11">
      <c r="A44" s="13" t="s">
        <v>103</v>
      </c>
      <c r="B44">
        <f t="shared" si="16"/>
        <v>28.4657142857143</v>
      </c>
      <c r="C44">
        <f t="shared" si="11"/>
        <v>420.168067226891</v>
      </c>
      <c r="D44">
        <f t="shared" ref="D44:F44" si="25">D29</f>
        <v>125</v>
      </c>
      <c r="E44">
        <f t="shared" si="25"/>
        <v>0.66</v>
      </c>
      <c r="F44">
        <f t="shared" si="25"/>
        <v>47.6</v>
      </c>
      <c r="G44">
        <f t="shared" si="13"/>
        <v>20000</v>
      </c>
      <c r="H44">
        <v>20000</v>
      </c>
      <c r="J44">
        <f t="shared" si="14"/>
        <v>82500</v>
      </c>
      <c r="K44">
        <f t="shared" si="15"/>
        <v>0.0283811358286925</v>
      </c>
    </row>
    <row r="45" spans="1:11">
      <c r="A45" s="13" t="s">
        <v>104</v>
      </c>
      <c r="B45">
        <f t="shared" si="16"/>
        <v>29.3614285714286</v>
      </c>
      <c r="C45">
        <f t="shared" si="11"/>
        <v>119.760479041916</v>
      </c>
      <c r="D45">
        <f t="shared" ref="D45:F45" si="26">D30</f>
        <v>100</v>
      </c>
      <c r="E45">
        <f t="shared" si="26"/>
        <v>1.07</v>
      </c>
      <c r="F45">
        <f t="shared" si="26"/>
        <v>167</v>
      </c>
      <c r="G45">
        <f t="shared" si="13"/>
        <v>20000</v>
      </c>
      <c r="H45">
        <v>20000</v>
      </c>
      <c r="J45">
        <f t="shared" si="14"/>
        <v>107000</v>
      </c>
      <c r="K45">
        <f t="shared" si="15"/>
        <v>0.0303294509825929</v>
      </c>
    </row>
    <row r="46" spans="1:11">
      <c r="A46" s="13" t="s">
        <v>105</v>
      </c>
      <c r="B46">
        <f t="shared" si="16"/>
        <v>24.18</v>
      </c>
      <c r="C46">
        <f t="shared" si="11"/>
        <v>175.438596491228</v>
      </c>
      <c r="D46">
        <f t="shared" ref="D46:F46" si="27">D31</f>
        <v>100</v>
      </c>
      <c r="E46">
        <f t="shared" si="27"/>
        <v>0.89</v>
      </c>
      <c r="F46">
        <f t="shared" si="27"/>
        <v>114</v>
      </c>
      <c r="G46">
        <f t="shared" si="13"/>
        <v>20000</v>
      </c>
      <c r="H46">
        <v>20000</v>
      </c>
      <c r="J46">
        <f t="shared" si="14"/>
        <v>89000</v>
      </c>
      <c r="K46">
        <f t="shared" si="15"/>
        <v>0.0303294509825929</v>
      </c>
    </row>
    <row r="47" spans="1:11">
      <c r="A47" s="13" t="s">
        <v>106</v>
      </c>
      <c r="B47">
        <f t="shared" si="16"/>
        <v>43.3714285714286</v>
      </c>
      <c r="C47">
        <f t="shared" si="11"/>
        <v>178.571428571429</v>
      </c>
      <c r="D47">
        <f t="shared" ref="D47:F47" si="28">D32</f>
        <v>125</v>
      </c>
      <c r="E47">
        <f t="shared" si="28"/>
        <v>1.02</v>
      </c>
      <c r="F47">
        <f t="shared" si="28"/>
        <v>112</v>
      </c>
      <c r="G47">
        <f t="shared" si="13"/>
        <v>20000</v>
      </c>
      <c r="H47">
        <v>20000</v>
      </c>
      <c r="J47">
        <f t="shared" si="14"/>
        <v>127500</v>
      </c>
      <c r="K47">
        <f t="shared" si="15"/>
        <v>0.0283811358286925</v>
      </c>
    </row>
    <row r="48" spans="1:11">
      <c r="A48" s="13" t="s">
        <v>107</v>
      </c>
      <c r="B48">
        <f t="shared" si="16"/>
        <v>45.9857142857143</v>
      </c>
      <c r="C48">
        <f t="shared" si="11"/>
        <v>426.439232409382</v>
      </c>
      <c r="D48">
        <f t="shared" ref="D48:F48" si="29">D33</f>
        <v>150</v>
      </c>
      <c r="E48">
        <f t="shared" si="29"/>
        <v>0.74</v>
      </c>
      <c r="F48">
        <f t="shared" si="29"/>
        <v>46.9</v>
      </c>
      <c r="G48">
        <f t="shared" si="13"/>
        <v>20000</v>
      </c>
      <c r="H48">
        <v>20000</v>
      </c>
      <c r="J48">
        <f t="shared" si="14"/>
        <v>111000</v>
      </c>
      <c r="K48">
        <f t="shared" si="15"/>
        <v>0.0269252990527845</v>
      </c>
    </row>
    <row r="49" spans="1:11">
      <c r="A49" s="13" t="s">
        <v>108</v>
      </c>
      <c r="B49">
        <f>B17</f>
        <v>48.4971428571429</v>
      </c>
      <c r="C49">
        <f t="shared" si="11"/>
        <v>345.423143350605</v>
      </c>
      <c r="D49">
        <f>D17</f>
        <v>150</v>
      </c>
      <c r="E49">
        <f t="shared" ref="E49:F49" si="30">E17</f>
        <v>0.82</v>
      </c>
      <c r="F49">
        <f t="shared" si="30"/>
        <v>57.9</v>
      </c>
      <c r="G49">
        <f t="shared" si="13"/>
        <v>20000</v>
      </c>
      <c r="H49">
        <v>20000</v>
      </c>
      <c r="J49">
        <f t="shared" si="14"/>
        <v>123000</v>
      </c>
      <c r="K49">
        <f t="shared" si="15"/>
        <v>0.0269252990527845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2026-01-08T01:30:00Z</dcterms:created>
  <dcterms:modified xsi:type="dcterms:W3CDTF">2026-01-23T23:02:13Z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