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040" activeTab="1"/>
  </bookViews>
  <sheets>
    <sheet name="Node" sheetId="1" r:id="rId1"/>
    <sheet name="Branch" sheetId="2" r:id="rId2"/>
    <sheet name="Device" sheetId="3" r:id="rId3"/>
    <sheet name="Building" sheetId="4" r:id="rId4"/>
    <sheet name="管径设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<sst xmlns="http://schemas.openxmlformats.org/spreadsheetml/2006/main" count="317" uniqueCount="109">
  <si>
    <t>id</t>
  </si>
  <si>
    <t>type</t>
  </si>
  <si>
    <t>pressure(MPa)</t>
  </si>
  <si>
    <t>injection(kg/s)</t>
  </si>
  <si>
    <t>T(Celsius)</t>
  </si>
  <si>
    <t>remark</t>
  </si>
  <si>
    <t>my_type</t>
  </si>
  <si>
    <t>定压力</t>
  </si>
  <si>
    <t>供水网</t>
  </si>
  <si>
    <t>定注入</t>
  </si>
  <si>
    <t>回水网</t>
  </si>
  <si>
    <t>outlet</t>
  </si>
  <si>
    <t>from node</t>
  </si>
  <si>
    <t>to node</t>
  </si>
  <si>
    <t>length</t>
  </si>
  <si>
    <t>diameter</t>
  </si>
  <si>
    <t>fraction</t>
  </si>
  <si>
    <t>disspation</t>
  </si>
  <si>
    <t>valve</t>
  </si>
  <si>
    <t>pump</t>
  </si>
  <si>
    <t>l_R</t>
  </si>
  <si>
    <t>负荷</t>
  </si>
  <si>
    <t>valve-1</t>
  </si>
  <si>
    <t>valve-2</t>
  </si>
  <si>
    <t>valve-3</t>
  </si>
  <si>
    <t>valve-4</t>
  </si>
  <si>
    <t>valve-5</t>
  </si>
  <si>
    <t>valve-6</t>
  </si>
  <si>
    <t>valve-7</t>
  </si>
  <si>
    <t>valve-8</t>
  </si>
  <si>
    <t>valve-9</t>
  </si>
  <si>
    <t>valve-10</t>
  </si>
  <si>
    <t>valve-11</t>
  </si>
  <si>
    <t>valve-12</t>
  </si>
  <si>
    <t>valve-13</t>
  </si>
  <si>
    <t>valve-14</t>
  </si>
  <si>
    <t>valve-15</t>
  </si>
  <si>
    <t>width</t>
  </si>
  <si>
    <t>height</t>
  </si>
  <si>
    <t>floors</t>
  </si>
  <si>
    <t>供热面积</t>
  </si>
  <si>
    <t>dT(C)</t>
  </si>
  <si>
    <t>设计负荷(W)</t>
  </si>
  <si>
    <t>目标流量(t/h)</t>
  </si>
  <si>
    <t>UA</t>
  </si>
  <si>
    <t>总流量</t>
  </si>
  <si>
    <t>W_R</t>
  </si>
  <si>
    <t>F_R</t>
  </si>
  <si>
    <t>residence</t>
  </si>
  <si>
    <t>管段编号</t>
  </si>
  <si>
    <t>计算流量(t/h)</t>
  </si>
  <si>
    <t>管段长度(m)</t>
  </si>
  <si>
    <t>直径（mm）</t>
  </si>
  <si>
    <t>流速</t>
  </si>
  <si>
    <t>比摩阻</t>
  </si>
  <si>
    <t>压力损失（Pa）</t>
  </si>
  <si>
    <t>最大压降（Pa）</t>
  </si>
  <si>
    <t>最大比摩阻</t>
  </si>
  <si>
    <t>雷诺数</t>
  </si>
  <si>
    <t>lamda(阻力平方区用尼古拉兹公式)</t>
  </si>
  <si>
    <r>
      <rPr>
        <sz val="11"/>
        <color theme="1"/>
        <rFont val="宋体"/>
        <charset val="134"/>
        <scheme val="minor"/>
      </rPr>
      <t>水的密度(kg/m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</si>
  <si>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动力黏度(Pa s)</t>
  </si>
  <si>
    <t>总压降</t>
  </si>
  <si>
    <t>干路</t>
  </si>
  <si>
    <t>1,2</t>
  </si>
  <si>
    <t>2,3</t>
  </si>
  <si>
    <t>3,4</t>
  </si>
  <si>
    <t>4,5</t>
  </si>
  <si>
    <t>5,6</t>
  </si>
  <si>
    <t>6,7</t>
  </si>
  <si>
    <t>7,8</t>
  </si>
  <si>
    <t>8,9</t>
  </si>
  <si>
    <t>9,10</t>
  </si>
  <si>
    <t>10,11</t>
  </si>
  <si>
    <t>11,12</t>
  </si>
  <si>
    <t>12,13</t>
  </si>
  <si>
    <t>13,14</t>
  </si>
  <si>
    <t>14,15</t>
  </si>
  <si>
    <t>15,30</t>
  </si>
  <si>
    <t>支路</t>
  </si>
  <si>
    <t>2,16</t>
  </si>
  <si>
    <t>3,17</t>
  </si>
  <si>
    <t>4,18</t>
  </si>
  <si>
    <t>5,19</t>
  </si>
  <si>
    <t>6,20</t>
  </si>
  <si>
    <t>7,21</t>
  </si>
  <si>
    <t>8,22</t>
  </si>
  <si>
    <t>9,23</t>
  </si>
  <si>
    <t>10,24</t>
  </si>
  <si>
    <t>11,25</t>
  </si>
  <si>
    <t>12,26</t>
  </si>
  <si>
    <t>13,27</t>
  </si>
  <si>
    <t>14,28</t>
  </si>
  <si>
    <t>15,29</t>
  </si>
  <si>
    <t>16,46</t>
  </si>
  <si>
    <t>17,47</t>
  </si>
  <si>
    <t>18,48</t>
  </si>
  <si>
    <t>19,49</t>
  </si>
  <si>
    <t>20,50</t>
  </si>
  <si>
    <t>21,51</t>
  </si>
  <si>
    <t>22,52</t>
  </si>
  <si>
    <t>23,53</t>
  </si>
  <si>
    <t>24,54</t>
  </si>
  <si>
    <t>25,55</t>
  </si>
  <si>
    <t>26,56</t>
  </si>
  <si>
    <t>27,57</t>
  </si>
  <si>
    <t>28,58</t>
  </si>
  <si>
    <t>29,59</t>
  </si>
  <si>
    <t>30,60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</si>
</sst>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15" applyNumberFormat="0" applyAlignment="0" applyProtection="0">
      <alignment vertical="center"/>
    </xf>
    <xf numFmtId="0" fontId="10" fillId="9" borderId="16" applyNumberFormat="0" applyAlignment="0" applyProtection="0">
      <alignment vertical="center"/>
    </xf>
    <xf numFmtId="0" fontId="11" fillId="9" borderId="15" applyNumberFormat="0" applyAlignment="0" applyProtection="0">
      <alignment vertical="center"/>
    </xf>
    <xf numFmtId="0" fontId="12" fillId="10" borderId="17" applyNumberFormat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>
      <alignment vertical="center"/>
    </xf>
    <xf numFmtId="0" fontId="0" fillId="2" borderId="5" xfId="0" applyFill="1" applyBorder="1">
      <alignment vertical="center"/>
    </xf>
    <xf numFmtId="0" fontId="0" fillId="0" borderId="0" xfId="0" applyFont="1">
      <alignment vertical="center"/>
    </xf>
    <xf numFmtId="0" fontId="0" fillId="2" borderId="4" xfId="0" applyFont="1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3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zoomScale="55" zoomScaleNormal="55" workbookViewId="0">
      <selection activeCell="G32" sqref="G32"/>
    </sheetView>
  </sheetViews>
  <sheetFormatPr defaultColWidth="9.23076923076923" defaultRowHeight="16.8" outlineLevelCol="6"/>
  <cols>
    <col min="1" max="1" width="10.3076923076923" customWidth="1"/>
    <col min="2" max="2" width="15" customWidth="1"/>
    <col min="3" max="3" width="14.8461538461538" customWidth="1"/>
    <col min="4" max="4" width="14.9230769230769" customWidth="1"/>
    <col min="5" max="5" width="10.4615384615385" customWidth="1"/>
    <col min="6" max="6" width="8.15384615384615" customWidth="1"/>
    <col min="7" max="7" width="9.07692307692308" customWidth="1"/>
    <col min="10" max="10" width="17.3846153846154" customWidth="1"/>
    <col min="11" max="11" width="37.307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0.2</v>
      </c>
      <c r="E2">
        <v>55</v>
      </c>
      <c r="F2" t="s">
        <v>8</v>
      </c>
    </row>
    <row r="3" spans="1:7">
      <c r="A3">
        <v>2</v>
      </c>
      <c r="B3" t="s">
        <v>9</v>
      </c>
      <c r="F3" t="s">
        <v>8</v>
      </c>
    </row>
    <row r="4" spans="1:7">
      <c r="A4">
        <v>3</v>
      </c>
      <c r="B4" t="s">
        <v>9</v>
      </c>
      <c r="F4" t="s">
        <v>8</v>
      </c>
    </row>
    <row r="5" spans="1:7">
      <c r="A5">
        <v>4</v>
      </c>
      <c r="B5" t="s">
        <v>9</v>
      </c>
      <c r="F5" t="s">
        <v>8</v>
      </c>
    </row>
    <row r="6" spans="1:7">
      <c r="A6">
        <v>5</v>
      </c>
      <c r="B6" t="s">
        <v>9</v>
      </c>
      <c r="F6" t="s">
        <v>8</v>
      </c>
    </row>
    <row r="7" spans="1:7">
      <c r="A7">
        <v>6</v>
      </c>
      <c r="B7" t="s">
        <v>9</v>
      </c>
      <c r="F7" t="s">
        <v>8</v>
      </c>
    </row>
    <row r="8" spans="1:7">
      <c r="A8">
        <v>7</v>
      </c>
      <c r="B8" t="s">
        <v>9</v>
      </c>
      <c r="F8" t="s">
        <v>8</v>
      </c>
    </row>
    <row r="9" spans="1:7">
      <c r="A9">
        <v>8</v>
      </c>
      <c r="B9" t="s">
        <v>9</v>
      </c>
      <c r="F9" t="s">
        <v>8</v>
      </c>
    </row>
    <row r="10" spans="1:7">
      <c r="A10">
        <v>9</v>
      </c>
      <c r="B10" t="s">
        <v>9</v>
      </c>
      <c r="F10" t="s">
        <v>8</v>
      </c>
    </row>
    <row r="11" spans="1:7">
      <c r="A11">
        <v>10</v>
      </c>
      <c r="B11" t="s">
        <v>9</v>
      </c>
      <c r="F11" t="s">
        <v>8</v>
      </c>
    </row>
    <row r="12" spans="1:7">
      <c r="A12">
        <v>11</v>
      </c>
      <c r="B12" t="s">
        <v>9</v>
      </c>
      <c r="F12" t="s">
        <v>8</v>
      </c>
    </row>
    <row r="13" spans="1:7">
      <c r="A13">
        <v>12</v>
      </c>
      <c r="B13" t="s">
        <v>9</v>
      </c>
      <c r="F13" t="s">
        <v>8</v>
      </c>
    </row>
    <row r="14" spans="1:7">
      <c r="A14">
        <v>13</v>
      </c>
      <c r="B14" t="s">
        <v>9</v>
      </c>
      <c r="F14" t="s">
        <v>8</v>
      </c>
    </row>
    <row r="15" spans="1:7">
      <c r="A15">
        <v>14</v>
      </c>
      <c r="B15" t="s">
        <v>9</v>
      </c>
      <c r="F15" t="s">
        <v>8</v>
      </c>
    </row>
    <row r="16" spans="1:7">
      <c r="A16">
        <v>15</v>
      </c>
      <c r="B16" t="s">
        <v>9</v>
      </c>
      <c r="F16" t="s">
        <v>8</v>
      </c>
    </row>
    <row r="17" spans="1:7">
      <c r="A17">
        <v>16</v>
      </c>
      <c r="B17" t="s">
        <v>9</v>
      </c>
      <c r="F17" t="s">
        <v>8</v>
      </c>
    </row>
    <row r="18" spans="1:7">
      <c r="A18">
        <v>17</v>
      </c>
      <c r="B18" t="s">
        <v>9</v>
      </c>
      <c r="F18" t="s">
        <v>8</v>
      </c>
    </row>
    <row r="19" spans="1:7">
      <c r="A19">
        <v>18</v>
      </c>
      <c r="B19" t="s">
        <v>9</v>
      </c>
      <c r="F19" t="s">
        <v>8</v>
      </c>
    </row>
    <row r="20" spans="1:7">
      <c r="A20">
        <v>19</v>
      </c>
      <c r="B20" t="s">
        <v>9</v>
      </c>
      <c r="F20" t="s">
        <v>8</v>
      </c>
    </row>
    <row r="21" spans="1:7">
      <c r="A21">
        <v>20</v>
      </c>
      <c r="B21" t="s">
        <v>9</v>
      </c>
      <c r="F21" t="s">
        <v>8</v>
      </c>
    </row>
    <row r="22" spans="1:7">
      <c r="A22">
        <v>21</v>
      </c>
      <c r="B22" t="s">
        <v>9</v>
      </c>
      <c r="F22" t="s">
        <v>8</v>
      </c>
    </row>
    <row r="23" spans="1:7">
      <c r="A23">
        <v>22</v>
      </c>
      <c r="B23" t="s">
        <v>9</v>
      </c>
      <c r="F23" t="s">
        <v>8</v>
      </c>
    </row>
    <row r="24" spans="1:7">
      <c r="A24">
        <v>23</v>
      </c>
      <c r="B24" t="s">
        <v>9</v>
      </c>
      <c r="F24" t="s">
        <v>8</v>
      </c>
    </row>
    <row r="25" spans="1:7">
      <c r="A25">
        <v>24</v>
      </c>
      <c r="B25" t="s">
        <v>9</v>
      </c>
      <c r="F25" t="s">
        <v>8</v>
      </c>
    </row>
    <row r="26" spans="1:7">
      <c r="A26">
        <v>25</v>
      </c>
      <c r="B26" t="s">
        <v>9</v>
      </c>
      <c r="F26" t="s">
        <v>8</v>
      </c>
    </row>
    <row r="27" spans="1:7">
      <c r="A27">
        <v>26</v>
      </c>
      <c r="B27" t="s">
        <v>9</v>
      </c>
      <c r="F27" t="s">
        <v>8</v>
      </c>
    </row>
    <row r="28" spans="1:7">
      <c r="A28">
        <v>27</v>
      </c>
      <c r="B28" t="s">
        <v>9</v>
      </c>
      <c r="F28" t="s">
        <v>8</v>
      </c>
    </row>
    <row r="29" spans="1:7">
      <c r="A29">
        <v>28</v>
      </c>
      <c r="B29" t="s">
        <v>9</v>
      </c>
      <c r="F29" t="s">
        <v>8</v>
      </c>
    </row>
    <row r="30" spans="1:7">
      <c r="A30">
        <v>29</v>
      </c>
      <c r="B30" t="s">
        <v>9</v>
      </c>
      <c r="F30" t="s">
        <v>8</v>
      </c>
    </row>
    <row r="31" spans="1:7">
      <c r="A31">
        <v>30</v>
      </c>
      <c r="B31" t="s">
        <v>9</v>
      </c>
      <c r="F31" t="s">
        <v>8</v>
      </c>
    </row>
    <row r="32" spans="1:7">
      <c r="A32">
        <v>31</v>
      </c>
      <c r="B32" t="s">
        <v>9</v>
      </c>
      <c r="D32">
        <f>-246.085714285714/3.6</f>
        <v>-68.3571428571428</v>
      </c>
      <c r="F32" t="s">
        <v>10</v>
      </c>
      <c r="G32" t="s">
        <v>11</v>
      </c>
    </row>
    <row r="33" spans="1:6">
      <c r="A33">
        <v>32</v>
      </c>
      <c r="B33" t="s">
        <v>9</v>
      </c>
      <c r="F33" t="s">
        <v>10</v>
      </c>
    </row>
    <row r="34" spans="1:6">
      <c r="A34">
        <v>33</v>
      </c>
      <c r="B34" t="s">
        <v>9</v>
      </c>
      <c r="F34" t="s">
        <v>10</v>
      </c>
    </row>
    <row r="35" spans="1:6">
      <c r="A35">
        <v>34</v>
      </c>
      <c r="B35" t="s">
        <v>9</v>
      </c>
      <c r="F35" t="s">
        <v>10</v>
      </c>
    </row>
    <row r="36" spans="1:6">
      <c r="A36">
        <v>35</v>
      </c>
      <c r="B36" t="s">
        <v>9</v>
      </c>
      <c r="F36" t="s">
        <v>10</v>
      </c>
    </row>
    <row r="37" spans="1:6">
      <c r="A37">
        <v>36</v>
      </c>
      <c r="B37" t="s">
        <v>9</v>
      </c>
      <c r="F37" t="s">
        <v>10</v>
      </c>
    </row>
    <row r="38" spans="1:6">
      <c r="A38">
        <v>37</v>
      </c>
      <c r="B38" t="s">
        <v>9</v>
      </c>
      <c r="F38" t="s">
        <v>10</v>
      </c>
    </row>
    <row r="39" spans="1:6">
      <c r="A39">
        <v>38</v>
      </c>
      <c r="B39" t="s">
        <v>9</v>
      </c>
      <c r="F39" t="s">
        <v>10</v>
      </c>
    </row>
    <row r="40" spans="1:6">
      <c r="A40">
        <v>39</v>
      </c>
      <c r="B40" t="s">
        <v>9</v>
      </c>
      <c r="F40" t="s">
        <v>10</v>
      </c>
    </row>
    <row r="41" spans="1:6">
      <c r="A41">
        <v>40</v>
      </c>
      <c r="B41" t="s">
        <v>9</v>
      </c>
      <c r="F41" t="s">
        <v>10</v>
      </c>
    </row>
    <row r="42" spans="1:6">
      <c r="A42">
        <v>41</v>
      </c>
      <c r="B42" t="s">
        <v>9</v>
      </c>
      <c r="F42" t="s">
        <v>10</v>
      </c>
    </row>
    <row r="43" spans="1:6">
      <c r="A43">
        <v>42</v>
      </c>
      <c r="B43" t="s">
        <v>9</v>
      </c>
      <c r="F43" t="s">
        <v>10</v>
      </c>
    </row>
    <row r="44" spans="1:6">
      <c r="A44">
        <v>43</v>
      </c>
      <c r="B44" t="s">
        <v>9</v>
      </c>
      <c r="F44" t="s">
        <v>10</v>
      </c>
    </row>
    <row r="45" spans="1:6">
      <c r="A45">
        <v>44</v>
      </c>
      <c r="B45" t="s">
        <v>9</v>
      </c>
      <c r="F45" t="s">
        <v>10</v>
      </c>
    </row>
    <row r="46" spans="1:6">
      <c r="A46">
        <v>45</v>
      </c>
      <c r="B46" t="s">
        <v>9</v>
      </c>
      <c r="F46" t="s">
        <v>10</v>
      </c>
    </row>
    <row r="47" spans="1:6">
      <c r="A47">
        <v>46</v>
      </c>
      <c r="B47" t="s">
        <v>9</v>
      </c>
      <c r="F47" t="s">
        <v>10</v>
      </c>
    </row>
    <row r="48" spans="1:6">
      <c r="A48">
        <v>47</v>
      </c>
      <c r="B48" t="s">
        <v>9</v>
      </c>
      <c r="F48" t="s">
        <v>10</v>
      </c>
    </row>
    <row r="49" spans="1:6">
      <c r="A49">
        <v>48</v>
      </c>
      <c r="B49" t="s">
        <v>9</v>
      </c>
      <c r="F49" t="s">
        <v>10</v>
      </c>
    </row>
    <row r="50" spans="1:6">
      <c r="A50">
        <v>49</v>
      </c>
      <c r="B50" t="s">
        <v>9</v>
      </c>
      <c r="F50" t="s">
        <v>10</v>
      </c>
    </row>
    <row r="51" spans="1:6">
      <c r="A51">
        <v>50</v>
      </c>
      <c r="B51" t="s">
        <v>9</v>
      </c>
      <c r="F51" t="s">
        <v>10</v>
      </c>
    </row>
    <row r="52" spans="1:6">
      <c r="A52">
        <v>51</v>
      </c>
      <c r="B52" t="s">
        <v>9</v>
      </c>
      <c r="F52" t="s">
        <v>10</v>
      </c>
    </row>
    <row r="53" spans="1:6">
      <c r="A53">
        <v>52</v>
      </c>
      <c r="B53" t="s">
        <v>9</v>
      </c>
      <c r="F53" t="s">
        <v>10</v>
      </c>
    </row>
    <row r="54" spans="1:6">
      <c r="A54">
        <v>53</v>
      </c>
      <c r="B54" t="s">
        <v>9</v>
      </c>
      <c r="F54" t="s">
        <v>10</v>
      </c>
    </row>
    <row r="55" spans="1:6">
      <c r="A55">
        <v>54</v>
      </c>
      <c r="B55" t="s">
        <v>9</v>
      </c>
      <c r="F55" t="s">
        <v>10</v>
      </c>
    </row>
    <row r="56" spans="1:6">
      <c r="A56">
        <v>55</v>
      </c>
      <c r="B56" t="s">
        <v>9</v>
      </c>
      <c r="F56" t="s">
        <v>10</v>
      </c>
    </row>
    <row r="57" spans="1:6">
      <c r="A57">
        <v>56</v>
      </c>
      <c r="B57" t="s">
        <v>9</v>
      </c>
      <c r="F57" t="s">
        <v>10</v>
      </c>
    </row>
    <row r="58" spans="1:6">
      <c r="A58">
        <v>57</v>
      </c>
      <c r="B58" t="s">
        <v>9</v>
      </c>
      <c r="F58" t="s">
        <v>10</v>
      </c>
    </row>
    <row r="59" spans="1:6">
      <c r="A59">
        <v>58</v>
      </c>
      <c r="B59" t="s">
        <v>9</v>
      </c>
      <c r="F59" t="s">
        <v>10</v>
      </c>
    </row>
    <row r="60" spans="1:6">
      <c r="A60">
        <v>59</v>
      </c>
      <c r="B60" t="s">
        <v>9</v>
      </c>
      <c r="F60" t="s">
        <v>10</v>
      </c>
    </row>
    <row r="61" spans="1:6">
      <c r="A61">
        <v>60</v>
      </c>
      <c r="B61" t="s">
        <v>9</v>
      </c>
      <c r="F61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4"/>
  <sheetViews>
    <sheetView tabSelected="1" zoomScale="72" zoomScaleNormal="72" workbookViewId="0">
      <selection activeCell="E17" sqref="E17"/>
    </sheetView>
  </sheetViews>
  <sheetFormatPr defaultColWidth="9.23076923076923" defaultRowHeight="16.8"/>
  <cols>
    <col min="2" max="2" width="10.7692307692308" customWidth="1"/>
    <col min="4" max="4" width="7.23076923076923" customWidth="1"/>
    <col min="5" max="5" width="9.46153846153846" customWidth="1"/>
    <col min="6" max="7" width="12.9230769230769" customWidth="1"/>
  </cols>
  <sheetData>
    <row r="1" spans="1:1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5</v>
      </c>
      <c r="K1" s="8" t="s">
        <v>20</v>
      </c>
    </row>
    <row r="2" spans="1:11">
      <c r="A2" s="15">
        <v>1</v>
      </c>
      <c r="B2">
        <v>1</v>
      </c>
      <c r="C2">
        <v>2</v>
      </c>
      <c r="D2" s="16">
        <v>75</v>
      </c>
      <c r="E2">
        <f>管径设计!D3</f>
        <v>300</v>
      </c>
      <c r="F2">
        <f>1/(1.14+2*LOG10((E2/0.5)))^2</f>
        <v>0.0223012841491152</v>
      </c>
      <c r="G2">
        <f>3.14*E2/1000/(0.03/0.023+0.01/0.5+1/1500+1/100)</f>
        <v>0.705610317425854</v>
      </c>
      <c r="J2" t="s">
        <v>8</v>
      </c>
      <c r="K2">
        <f ca="1">RANDBETWEEN(30,100)</f>
        <v>57</v>
      </c>
    </row>
    <row r="3" spans="1:11">
      <c r="A3" s="15">
        <v>2</v>
      </c>
      <c r="B3">
        <v>2</v>
      </c>
      <c r="C3">
        <v>3</v>
      </c>
      <c r="D3" s="17">
        <v>93</v>
      </c>
      <c r="E3">
        <f>管径设计!D4</f>
        <v>300</v>
      </c>
      <c r="F3">
        <f t="shared" ref="F3:F39" si="0">1/(1.14+2*LOG10((E3/0.5)))^2</f>
        <v>0.0223012841491152</v>
      </c>
      <c r="G3">
        <f t="shared" ref="G3:G39" si="1">3.14*E3/1000/(0.03/0.023+0.01/0.5+1/1500+1/100)</f>
        <v>0.705610317425854</v>
      </c>
      <c r="J3" t="s">
        <v>8</v>
      </c>
      <c r="K3">
        <f ca="1" t="shared" ref="K3:K30" si="2">RANDBETWEEN(30,100)</f>
        <v>95</v>
      </c>
    </row>
    <row r="4" spans="1:11">
      <c r="A4" s="15">
        <v>3</v>
      </c>
      <c r="B4">
        <v>3</v>
      </c>
      <c r="C4">
        <v>4</v>
      </c>
      <c r="D4" s="17">
        <v>37</v>
      </c>
      <c r="E4">
        <f>管径设计!D5</f>
        <v>300</v>
      </c>
      <c r="F4">
        <f t="shared" si="0"/>
        <v>0.0223012841491152</v>
      </c>
      <c r="G4">
        <f t="shared" si="1"/>
        <v>0.705610317425854</v>
      </c>
      <c r="J4" t="s">
        <v>8</v>
      </c>
      <c r="K4">
        <f ca="1" t="shared" si="2"/>
        <v>34</v>
      </c>
    </row>
    <row r="5" spans="1:11">
      <c r="A5" s="15">
        <v>4</v>
      </c>
      <c r="B5">
        <v>4</v>
      </c>
      <c r="C5">
        <v>5</v>
      </c>
      <c r="D5" s="17">
        <v>72</v>
      </c>
      <c r="E5">
        <f>管径设计!D6</f>
        <v>250</v>
      </c>
      <c r="F5">
        <f t="shared" si="0"/>
        <v>0.0233947353976847</v>
      </c>
      <c r="G5">
        <f t="shared" si="1"/>
        <v>0.588008597854879</v>
      </c>
      <c r="J5" t="s">
        <v>8</v>
      </c>
      <c r="K5">
        <f ca="1" t="shared" si="2"/>
        <v>59</v>
      </c>
    </row>
    <row r="6" spans="1:11">
      <c r="A6" s="15">
        <v>5</v>
      </c>
      <c r="B6">
        <v>5</v>
      </c>
      <c r="C6">
        <v>6</v>
      </c>
      <c r="D6" s="17">
        <v>34</v>
      </c>
      <c r="E6">
        <f>管径设计!D7</f>
        <v>250</v>
      </c>
      <c r="F6">
        <f t="shared" si="0"/>
        <v>0.0233947353976847</v>
      </c>
      <c r="G6">
        <f t="shared" si="1"/>
        <v>0.588008597854879</v>
      </c>
      <c r="J6" t="s">
        <v>8</v>
      </c>
      <c r="K6">
        <f ca="1" t="shared" si="2"/>
        <v>83</v>
      </c>
    </row>
    <row r="7" spans="1:11">
      <c r="A7" s="15">
        <v>6</v>
      </c>
      <c r="B7">
        <v>6</v>
      </c>
      <c r="C7">
        <v>7</v>
      </c>
      <c r="D7" s="17">
        <v>50</v>
      </c>
      <c r="E7">
        <f>管径设计!D8</f>
        <v>250</v>
      </c>
      <c r="F7">
        <f t="shared" si="0"/>
        <v>0.0233947353976847</v>
      </c>
      <c r="G7">
        <f t="shared" si="1"/>
        <v>0.588008597854879</v>
      </c>
      <c r="J7" t="s">
        <v>8</v>
      </c>
      <c r="K7">
        <f ca="1" t="shared" si="2"/>
        <v>83</v>
      </c>
    </row>
    <row r="8" spans="1:11">
      <c r="A8" s="15">
        <v>7</v>
      </c>
      <c r="B8">
        <v>7</v>
      </c>
      <c r="C8">
        <v>8</v>
      </c>
      <c r="D8" s="17">
        <v>50</v>
      </c>
      <c r="E8">
        <f>管径设计!D9</f>
        <v>250</v>
      </c>
      <c r="F8">
        <f t="shared" si="0"/>
        <v>0.0233947353976847</v>
      </c>
      <c r="G8">
        <f t="shared" si="1"/>
        <v>0.588008597854879</v>
      </c>
      <c r="J8" t="s">
        <v>8</v>
      </c>
      <c r="K8">
        <f ca="1" t="shared" si="2"/>
        <v>90</v>
      </c>
    </row>
    <row r="9" spans="1:11">
      <c r="A9" s="15">
        <v>8</v>
      </c>
      <c r="B9">
        <v>8</v>
      </c>
      <c r="C9">
        <v>9</v>
      </c>
      <c r="D9" s="17">
        <v>96</v>
      </c>
      <c r="E9">
        <f>管径设计!D10</f>
        <v>250</v>
      </c>
      <c r="F9">
        <f t="shared" si="0"/>
        <v>0.0233947353976847</v>
      </c>
      <c r="G9">
        <f t="shared" si="1"/>
        <v>0.588008597854879</v>
      </c>
      <c r="J9" t="s">
        <v>8</v>
      </c>
      <c r="K9">
        <f ca="1" t="shared" si="2"/>
        <v>70</v>
      </c>
    </row>
    <row r="10" spans="1:11">
      <c r="A10" s="15">
        <v>9</v>
      </c>
      <c r="B10">
        <v>9</v>
      </c>
      <c r="C10">
        <v>10</v>
      </c>
      <c r="D10" s="17">
        <v>83</v>
      </c>
      <c r="E10">
        <f>管径设计!D11</f>
        <v>250</v>
      </c>
      <c r="F10">
        <f t="shared" si="0"/>
        <v>0.0233947353976847</v>
      </c>
      <c r="G10">
        <f t="shared" si="1"/>
        <v>0.588008597854879</v>
      </c>
      <c r="J10" t="s">
        <v>8</v>
      </c>
      <c r="K10">
        <f ca="1" t="shared" si="2"/>
        <v>83</v>
      </c>
    </row>
    <row r="11" spans="1:11">
      <c r="A11" s="15">
        <v>10</v>
      </c>
      <c r="B11">
        <v>10</v>
      </c>
      <c r="C11">
        <v>11</v>
      </c>
      <c r="D11" s="17">
        <v>37</v>
      </c>
      <c r="E11">
        <f>管径设计!D12</f>
        <v>250</v>
      </c>
      <c r="F11">
        <f t="shared" si="0"/>
        <v>0.0233947353976847</v>
      </c>
      <c r="G11">
        <f t="shared" si="1"/>
        <v>0.588008597854879</v>
      </c>
      <c r="J11" t="s">
        <v>8</v>
      </c>
      <c r="K11">
        <f ca="1" t="shared" si="2"/>
        <v>91</v>
      </c>
    </row>
    <row r="12" spans="1:11">
      <c r="A12" s="15">
        <v>11</v>
      </c>
      <c r="B12">
        <v>11</v>
      </c>
      <c r="C12">
        <v>12</v>
      </c>
      <c r="D12" s="17">
        <v>76</v>
      </c>
      <c r="E12">
        <f>管径设计!D13</f>
        <v>250</v>
      </c>
      <c r="F12">
        <f t="shared" si="0"/>
        <v>0.0233947353976847</v>
      </c>
      <c r="G12">
        <f t="shared" si="1"/>
        <v>0.588008597854879</v>
      </c>
      <c r="J12" t="s">
        <v>8</v>
      </c>
      <c r="K12">
        <f ca="1" t="shared" si="2"/>
        <v>61</v>
      </c>
    </row>
    <row r="13" spans="1:11">
      <c r="A13" s="15">
        <v>12</v>
      </c>
      <c r="B13">
        <v>12</v>
      </c>
      <c r="C13">
        <v>13</v>
      </c>
      <c r="D13" s="17">
        <v>81</v>
      </c>
      <c r="E13">
        <f>管径设计!D14</f>
        <v>200</v>
      </c>
      <c r="F13">
        <f t="shared" si="0"/>
        <v>0.0248460425197335</v>
      </c>
      <c r="G13">
        <f t="shared" si="1"/>
        <v>0.470406878283903</v>
      </c>
      <c r="J13" t="s">
        <v>8</v>
      </c>
      <c r="K13">
        <f ca="1" t="shared" si="2"/>
        <v>70</v>
      </c>
    </row>
    <row r="14" spans="1:11">
      <c r="A14" s="15">
        <v>13</v>
      </c>
      <c r="B14">
        <v>13</v>
      </c>
      <c r="C14">
        <v>14</v>
      </c>
      <c r="D14" s="17">
        <v>53</v>
      </c>
      <c r="E14">
        <f>管径设计!D15</f>
        <v>200</v>
      </c>
      <c r="F14">
        <f t="shared" si="0"/>
        <v>0.0248460425197335</v>
      </c>
      <c r="G14">
        <f t="shared" si="1"/>
        <v>0.470406878283903</v>
      </c>
      <c r="J14" t="s">
        <v>8</v>
      </c>
      <c r="K14">
        <f ca="1" t="shared" si="2"/>
        <v>71</v>
      </c>
    </row>
    <row r="15" spans="1:11">
      <c r="A15" s="15">
        <v>14</v>
      </c>
      <c r="B15">
        <v>14</v>
      </c>
      <c r="C15">
        <v>15</v>
      </c>
      <c r="D15" s="17">
        <v>77</v>
      </c>
      <c r="E15">
        <f>管径设计!D16</f>
        <v>150</v>
      </c>
      <c r="F15">
        <f t="shared" si="0"/>
        <v>0.0269252990527845</v>
      </c>
      <c r="G15">
        <f t="shared" si="1"/>
        <v>0.352805158712927</v>
      </c>
      <c r="J15" t="s">
        <v>8</v>
      </c>
      <c r="K15">
        <f ca="1" t="shared" si="2"/>
        <v>55</v>
      </c>
    </row>
    <row r="16" spans="1:11">
      <c r="A16" s="15">
        <v>15</v>
      </c>
      <c r="B16">
        <v>15</v>
      </c>
      <c r="C16">
        <v>30</v>
      </c>
      <c r="D16" s="17">
        <v>81</v>
      </c>
      <c r="E16">
        <f>管径设计!D17</f>
        <v>100</v>
      </c>
      <c r="F16">
        <f t="shared" si="0"/>
        <v>0.0303294509825929</v>
      </c>
      <c r="G16">
        <f t="shared" si="1"/>
        <v>0.235203439141951</v>
      </c>
      <c r="H16">
        <v>15</v>
      </c>
      <c r="J16" t="s">
        <v>8</v>
      </c>
      <c r="K16">
        <f ca="1" t="shared" si="2"/>
        <v>71</v>
      </c>
    </row>
    <row r="17" spans="1:11">
      <c r="A17" s="15">
        <v>16</v>
      </c>
      <c r="B17">
        <v>2</v>
      </c>
      <c r="C17">
        <v>16</v>
      </c>
      <c r="D17" s="17">
        <v>38</v>
      </c>
      <c r="E17">
        <f>管径设计!D20</f>
        <v>65</v>
      </c>
      <c r="F17">
        <f t="shared" si="0"/>
        <v>0.0347051014322117</v>
      </c>
      <c r="G17">
        <f t="shared" si="1"/>
        <v>0.152882235442268</v>
      </c>
      <c r="H17">
        <v>1</v>
      </c>
      <c r="J17" t="s">
        <v>8</v>
      </c>
      <c r="K17">
        <f ca="1" t="shared" si="2"/>
        <v>97</v>
      </c>
    </row>
    <row r="18" spans="1:11">
      <c r="A18" s="15">
        <v>17</v>
      </c>
      <c r="B18">
        <v>3</v>
      </c>
      <c r="C18">
        <v>17</v>
      </c>
      <c r="D18" s="17">
        <v>71</v>
      </c>
      <c r="E18">
        <f>管径设计!D21</f>
        <v>65</v>
      </c>
      <c r="F18">
        <f t="shared" si="0"/>
        <v>0.0347051014322117</v>
      </c>
      <c r="G18">
        <f t="shared" si="1"/>
        <v>0.152882235442268</v>
      </c>
      <c r="H18">
        <v>2</v>
      </c>
      <c r="J18" t="s">
        <v>8</v>
      </c>
      <c r="K18">
        <f ca="1" t="shared" si="2"/>
        <v>89</v>
      </c>
    </row>
    <row r="19" spans="1:11">
      <c r="A19" s="15">
        <v>18</v>
      </c>
      <c r="B19">
        <v>4</v>
      </c>
      <c r="C19">
        <v>18</v>
      </c>
      <c r="D19" s="17">
        <v>40</v>
      </c>
      <c r="E19">
        <f>管径设计!D22</f>
        <v>100</v>
      </c>
      <c r="F19">
        <f t="shared" si="0"/>
        <v>0.0303294509825929</v>
      </c>
      <c r="G19">
        <f t="shared" si="1"/>
        <v>0.235203439141951</v>
      </c>
      <c r="H19">
        <v>3</v>
      </c>
      <c r="J19" t="s">
        <v>8</v>
      </c>
      <c r="K19">
        <f ca="1" t="shared" si="2"/>
        <v>95</v>
      </c>
    </row>
    <row r="20" spans="1:11">
      <c r="A20" s="15">
        <v>19</v>
      </c>
      <c r="B20">
        <v>5</v>
      </c>
      <c r="C20">
        <v>19</v>
      </c>
      <c r="D20" s="17">
        <v>40</v>
      </c>
      <c r="E20">
        <f>管径设计!D23</f>
        <v>50</v>
      </c>
      <c r="F20">
        <f t="shared" si="0"/>
        <v>0.0378506866114551</v>
      </c>
      <c r="G20">
        <f t="shared" si="1"/>
        <v>0.117601719570976</v>
      </c>
      <c r="H20">
        <v>4</v>
      </c>
      <c r="J20" t="s">
        <v>8</v>
      </c>
      <c r="K20">
        <f ca="1" t="shared" si="2"/>
        <v>32</v>
      </c>
    </row>
    <row r="21" spans="1:11">
      <c r="A21" s="15">
        <v>20</v>
      </c>
      <c r="B21">
        <v>6</v>
      </c>
      <c r="C21">
        <v>20</v>
      </c>
      <c r="D21" s="17">
        <v>78</v>
      </c>
      <c r="E21">
        <f>管径设计!D24</f>
        <v>80</v>
      </c>
      <c r="F21">
        <f t="shared" si="0"/>
        <v>0.032485497883736</v>
      </c>
      <c r="G21">
        <f t="shared" si="1"/>
        <v>0.188162751313561</v>
      </c>
      <c r="H21">
        <v>5</v>
      </c>
      <c r="J21" t="s">
        <v>8</v>
      </c>
      <c r="K21">
        <f ca="1" t="shared" si="2"/>
        <v>97</v>
      </c>
    </row>
    <row r="22" spans="1:11">
      <c r="A22" s="15">
        <v>21</v>
      </c>
      <c r="B22">
        <v>7</v>
      </c>
      <c r="C22">
        <v>21</v>
      </c>
      <c r="D22" s="17">
        <v>94</v>
      </c>
      <c r="E22">
        <f>管径设计!D25</f>
        <v>65</v>
      </c>
      <c r="F22">
        <f t="shared" si="0"/>
        <v>0.0347051014322117</v>
      </c>
      <c r="G22">
        <f t="shared" si="1"/>
        <v>0.152882235442268</v>
      </c>
      <c r="H22">
        <v>6</v>
      </c>
      <c r="J22" t="s">
        <v>8</v>
      </c>
      <c r="K22">
        <f ca="1" t="shared" si="2"/>
        <v>96</v>
      </c>
    </row>
    <row r="23" spans="1:11">
      <c r="A23" s="15">
        <v>22</v>
      </c>
      <c r="B23">
        <v>8</v>
      </c>
      <c r="C23">
        <v>22</v>
      </c>
      <c r="D23" s="17">
        <v>32</v>
      </c>
      <c r="E23">
        <f>管径设计!D26</f>
        <v>65</v>
      </c>
      <c r="F23">
        <f t="shared" si="0"/>
        <v>0.0347051014322117</v>
      </c>
      <c r="G23">
        <f t="shared" si="1"/>
        <v>0.152882235442268</v>
      </c>
      <c r="H23">
        <v>7</v>
      </c>
      <c r="J23" t="s">
        <v>8</v>
      </c>
      <c r="K23">
        <f ca="1" t="shared" si="2"/>
        <v>33</v>
      </c>
    </row>
    <row r="24" spans="1:11">
      <c r="A24" s="15">
        <v>23</v>
      </c>
      <c r="B24">
        <v>9</v>
      </c>
      <c r="C24">
        <v>23</v>
      </c>
      <c r="D24" s="17">
        <v>61</v>
      </c>
      <c r="E24">
        <f>管径设计!D27</f>
        <v>65</v>
      </c>
      <c r="F24">
        <f t="shared" si="0"/>
        <v>0.0347051014322117</v>
      </c>
      <c r="G24">
        <f t="shared" si="1"/>
        <v>0.152882235442268</v>
      </c>
      <c r="H24">
        <v>8</v>
      </c>
      <c r="J24" t="s">
        <v>8</v>
      </c>
      <c r="K24">
        <f ca="1" t="shared" si="2"/>
        <v>72</v>
      </c>
    </row>
    <row r="25" spans="1:11">
      <c r="A25" s="15">
        <v>24</v>
      </c>
      <c r="B25">
        <v>10</v>
      </c>
      <c r="C25">
        <v>24</v>
      </c>
      <c r="D25" s="17">
        <v>46</v>
      </c>
      <c r="E25">
        <f>管径设计!D28</f>
        <v>65</v>
      </c>
      <c r="F25">
        <f t="shared" si="0"/>
        <v>0.0347051014322117</v>
      </c>
      <c r="G25">
        <f t="shared" si="1"/>
        <v>0.152882235442268</v>
      </c>
      <c r="H25">
        <v>9</v>
      </c>
      <c r="J25" t="s">
        <v>8</v>
      </c>
      <c r="K25">
        <f ca="1" t="shared" si="2"/>
        <v>32</v>
      </c>
    </row>
    <row r="26" spans="1:11">
      <c r="A26" s="15">
        <v>25</v>
      </c>
      <c r="B26">
        <v>11</v>
      </c>
      <c r="C26">
        <v>25</v>
      </c>
      <c r="D26" s="17">
        <v>58</v>
      </c>
      <c r="E26">
        <f>管径设计!D29</f>
        <v>100</v>
      </c>
      <c r="F26">
        <f t="shared" si="0"/>
        <v>0.0303294509825929</v>
      </c>
      <c r="G26">
        <f t="shared" si="1"/>
        <v>0.235203439141951</v>
      </c>
      <c r="H26">
        <v>10</v>
      </c>
      <c r="J26" t="s">
        <v>8</v>
      </c>
      <c r="K26">
        <f ca="1" t="shared" si="2"/>
        <v>66</v>
      </c>
    </row>
    <row r="27" spans="1:11">
      <c r="A27" s="15">
        <v>26</v>
      </c>
      <c r="B27">
        <v>12</v>
      </c>
      <c r="C27">
        <v>26</v>
      </c>
      <c r="D27" s="17">
        <v>33</v>
      </c>
      <c r="E27">
        <f>管径设计!D30</f>
        <v>100</v>
      </c>
      <c r="F27">
        <f t="shared" si="0"/>
        <v>0.0303294509825929</v>
      </c>
      <c r="G27">
        <f t="shared" si="1"/>
        <v>0.235203439141951</v>
      </c>
      <c r="H27">
        <v>11</v>
      </c>
      <c r="J27" t="s">
        <v>8</v>
      </c>
      <c r="K27">
        <f ca="1" t="shared" si="2"/>
        <v>71</v>
      </c>
    </row>
    <row r="28" spans="1:11">
      <c r="A28" s="15">
        <v>27</v>
      </c>
      <c r="B28">
        <v>13</v>
      </c>
      <c r="C28">
        <v>27</v>
      </c>
      <c r="D28" s="17">
        <v>45</v>
      </c>
      <c r="E28">
        <f>管径设计!D31</f>
        <v>100</v>
      </c>
      <c r="F28">
        <f t="shared" si="0"/>
        <v>0.0303294509825929</v>
      </c>
      <c r="G28">
        <f t="shared" si="1"/>
        <v>0.235203439141951</v>
      </c>
      <c r="H28">
        <v>12</v>
      </c>
      <c r="J28" t="s">
        <v>8</v>
      </c>
      <c r="K28">
        <f ca="1" t="shared" si="2"/>
        <v>75</v>
      </c>
    </row>
    <row r="29" spans="1:11">
      <c r="A29" s="15">
        <v>28</v>
      </c>
      <c r="B29">
        <v>14</v>
      </c>
      <c r="C29">
        <v>28</v>
      </c>
      <c r="D29" s="17">
        <v>95</v>
      </c>
      <c r="E29">
        <f>管径设计!D32</f>
        <v>125</v>
      </c>
      <c r="F29">
        <f t="shared" si="0"/>
        <v>0.0283811358286925</v>
      </c>
      <c r="G29">
        <f t="shared" si="1"/>
        <v>0.294004298927439</v>
      </c>
      <c r="H29">
        <v>13</v>
      </c>
      <c r="J29" t="s">
        <v>8</v>
      </c>
      <c r="K29">
        <f ca="1" t="shared" si="2"/>
        <v>91</v>
      </c>
    </row>
    <row r="30" spans="1:11">
      <c r="A30" s="15">
        <v>29</v>
      </c>
      <c r="B30">
        <v>15</v>
      </c>
      <c r="C30">
        <v>29</v>
      </c>
      <c r="D30" s="18">
        <v>86</v>
      </c>
      <c r="E30">
        <f>管径设计!D33</f>
        <v>100</v>
      </c>
      <c r="F30">
        <f t="shared" si="0"/>
        <v>0.0303294509825929</v>
      </c>
      <c r="G30">
        <f t="shared" si="1"/>
        <v>0.235203439141951</v>
      </c>
      <c r="H30">
        <v>14</v>
      </c>
      <c r="J30" t="s">
        <v>8</v>
      </c>
      <c r="K30">
        <f ca="1" t="shared" si="2"/>
        <v>94</v>
      </c>
    </row>
    <row r="31" spans="1:11">
      <c r="A31" s="19">
        <v>30</v>
      </c>
      <c r="B31">
        <f>C2+30</f>
        <v>32</v>
      </c>
      <c r="C31">
        <f>B2+30</f>
        <v>31</v>
      </c>
      <c r="D31">
        <f>D2</f>
        <v>75</v>
      </c>
      <c r="E31">
        <f>E2</f>
        <v>300</v>
      </c>
      <c r="F31">
        <f t="shared" si="0"/>
        <v>0.0223012841491152</v>
      </c>
      <c r="G31">
        <f t="shared" si="1"/>
        <v>0.705610317425854</v>
      </c>
      <c r="J31" t="s">
        <v>10</v>
      </c>
    </row>
    <row r="32" spans="1:11">
      <c r="A32" s="19">
        <v>31</v>
      </c>
      <c r="B32">
        <f t="shared" ref="B32:B59" si="3">C3+30</f>
        <v>33</v>
      </c>
      <c r="C32">
        <f t="shared" ref="C32:C59" si="4">B3+30</f>
        <v>32</v>
      </c>
      <c r="D32">
        <f t="shared" ref="D32:D59" si="5">D3</f>
        <v>93</v>
      </c>
      <c r="E32">
        <f t="shared" ref="E32:E59" si="6">E3</f>
        <v>300</v>
      </c>
      <c r="F32">
        <f t="shared" si="0"/>
        <v>0.0223012841491152</v>
      </c>
      <c r="G32">
        <f t="shared" si="1"/>
        <v>0.705610317425854</v>
      </c>
      <c r="J32" t="s">
        <v>10</v>
      </c>
    </row>
    <row r="33" spans="1:10">
      <c r="A33" s="19">
        <v>32</v>
      </c>
      <c r="B33">
        <f t="shared" si="3"/>
        <v>34</v>
      </c>
      <c r="C33">
        <f t="shared" si="4"/>
        <v>33</v>
      </c>
      <c r="D33">
        <f t="shared" si="5"/>
        <v>37</v>
      </c>
      <c r="E33">
        <f t="shared" si="6"/>
        <v>300</v>
      </c>
      <c r="F33">
        <f t="shared" si="0"/>
        <v>0.0223012841491152</v>
      </c>
      <c r="G33">
        <f t="shared" si="1"/>
        <v>0.705610317425854</v>
      </c>
      <c r="J33" t="s">
        <v>10</v>
      </c>
    </row>
    <row r="34" spans="1:10">
      <c r="A34" s="19">
        <v>33</v>
      </c>
      <c r="B34">
        <f t="shared" si="3"/>
        <v>35</v>
      </c>
      <c r="C34">
        <f t="shared" si="4"/>
        <v>34</v>
      </c>
      <c r="D34">
        <f t="shared" si="5"/>
        <v>72</v>
      </c>
      <c r="E34">
        <f t="shared" si="6"/>
        <v>250</v>
      </c>
      <c r="F34">
        <f t="shared" si="0"/>
        <v>0.0233947353976847</v>
      </c>
      <c r="G34">
        <f t="shared" si="1"/>
        <v>0.588008597854879</v>
      </c>
      <c r="J34" t="s">
        <v>10</v>
      </c>
    </row>
    <row r="35" spans="1:10">
      <c r="A35" s="19">
        <v>34</v>
      </c>
      <c r="B35">
        <f t="shared" si="3"/>
        <v>36</v>
      </c>
      <c r="C35">
        <f t="shared" si="4"/>
        <v>35</v>
      </c>
      <c r="D35">
        <f t="shared" si="5"/>
        <v>34</v>
      </c>
      <c r="E35">
        <f t="shared" si="6"/>
        <v>250</v>
      </c>
      <c r="F35">
        <f t="shared" si="0"/>
        <v>0.0233947353976847</v>
      </c>
      <c r="G35">
        <f t="shared" si="1"/>
        <v>0.588008597854879</v>
      </c>
      <c r="J35" t="s">
        <v>10</v>
      </c>
    </row>
    <row r="36" spans="1:10">
      <c r="A36" s="19">
        <v>35</v>
      </c>
      <c r="B36">
        <f t="shared" si="3"/>
        <v>37</v>
      </c>
      <c r="C36">
        <f t="shared" si="4"/>
        <v>36</v>
      </c>
      <c r="D36">
        <f t="shared" si="5"/>
        <v>50</v>
      </c>
      <c r="E36">
        <f t="shared" si="6"/>
        <v>250</v>
      </c>
      <c r="F36">
        <f t="shared" si="0"/>
        <v>0.0233947353976847</v>
      </c>
      <c r="G36">
        <f t="shared" si="1"/>
        <v>0.588008597854879</v>
      </c>
      <c r="J36" t="s">
        <v>10</v>
      </c>
    </row>
    <row r="37" spans="1:10">
      <c r="A37" s="19">
        <v>36</v>
      </c>
      <c r="B37">
        <f t="shared" si="3"/>
        <v>38</v>
      </c>
      <c r="C37">
        <f t="shared" si="4"/>
        <v>37</v>
      </c>
      <c r="D37">
        <f t="shared" si="5"/>
        <v>50</v>
      </c>
      <c r="E37">
        <f t="shared" si="6"/>
        <v>250</v>
      </c>
      <c r="F37">
        <f t="shared" si="0"/>
        <v>0.0233947353976847</v>
      </c>
      <c r="G37">
        <f t="shared" si="1"/>
        <v>0.588008597854879</v>
      </c>
      <c r="J37" t="s">
        <v>10</v>
      </c>
    </row>
    <row r="38" spans="1:10">
      <c r="A38" s="19">
        <v>37</v>
      </c>
      <c r="B38">
        <f t="shared" si="3"/>
        <v>39</v>
      </c>
      <c r="C38">
        <f t="shared" si="4"/>
        <v>38</v>
      </c>
      <c r="D38">
        <f t="shared" si="5"/>
        <v>96</v>
      </c>
      <c r="E38">
        <f t="shared" si="6"/>
        <v>250</v>
      </c>
      <c r="F38">
        <f t="shared" si="0"/>
        <v>0.0233947353976847</v>
      </c>
      <c r="G38">
        <f t="shared" si="1"/>
        <v>0.588008597854879</v>
      </c>
      <c r="J38" t="s">
        <v>10</v>
      </c>
    </row>
    <row r="39" spans="1:10">
      <c r="A39" s="19">
        <v>38</v>
      </c>
      <c r="B39">
        <f t="shared" si="3"/>
        <v>40</v>
      </c>
      <c r="C39">
        <f t="shared" si="4"/>
        <v>39</v>
      </c>
      <c r="D39">
        <f t="shared" si="5"/>
        <v>83</v>
      </c>
      <c r="E39">
        <f t="shared" si="6"/>
        <v>250</v>
      </c>
      <c r="F39">
        <f t="shared" si="0"/>
        <v>0.0233947353976847</v>
      </c>
      <c r="G39">
        <f t="shared" si="1"/>
        <v>0.588008597854879</v>
      </c>
      <c r="J39" t="s">
        <v>10</v>
      </c>
    </row>
    <row r="40" spans="1:10">
      <c r="A40" s="19">
        <v>39</v>
      </c>
      <c r="B40">
        <f t="shared" si="3"/>
        <v>41</v>
      </c>
      <c r="C40">
        <f t="shared" si="4"/>
        <v>40</v>
      </c>
      <c r="D40">
        <f t="shared" si="5"/>
        <v>37</v>
      </c>
      <c r="E40">
        <f t="shared" si="6"/>
        <v>250</v>
      </c>
      <c r="F40">
        <f t="shared" ref="F40:F74" si="7">1/(1.14+2*LOG10((E40/0.5)))^2</f>
        <v>0.0233947353976847</v>
      </c>
      <c r="G40">
        <f t="shared" ref="G40:G74" si="8">3.14*E40/1000/(0.03/0.023+0.01/0.5+1/1500+1/100)</f>
        <v>0.588008597854879</v>
      </c>
      <c r="J40" t="s">
        <v>10</v>
      </c>
    </row>
    <row r="41" spans="1:10">
      <c r="A41" s="19">
        <v>40</v>
      </c>
      <c r="B41">
        <f t="shared" si="3"/>
        <v>42</v>
      </c>
      <c r="C41">
        <f t="shared" si="4"/>
        <v>41</v>
      </c>
      <c r="D41">
        <f t="shared" si="5"/>
        <v>76</v>
      </c>
      <c r="E41">
        <f t="shared" si="6"/>
        <v>250</v>
      </c>
      <c r="F41">
        <f t="shared" si="7"/>
        <v>0.0233947353976847</v>
      </c>
      <c r="G41">
        <f t="shared" si="8"/>
        <v>0.588008597854879</v>
      </c>
      <c r="J41" t="s">
        <v>10</v>
      </c>
    </row>
    <row r="42" spans="1:10">
      <c r="A42" s="19">
        <v>41</v>
      </c>
      <c r="B42">
        <f t="shared" si="3"/>
        <v>43</v>
      </c>
      <c r="C42">
        <f t="shared" si="4"/>
        <v>42</v>
      </c>
      <c r="D42">
        <f t="shared" si="5"/>
        <v>81</v>
      </c>
      <c r="E42">
        <f t="shared" si="6"/>
        <v>200</v>
      </c>
      <c r="F42">
        <f t="shared" si="7"/>
        <v>0.0248460425197335</v>
      </c>
      <c r="G42">
        <f t="shared" si="8"/>
        <v>0.470406878283903</v>
      </c>
      <c r="J42" t="s">
        <v>10</v>
      </c>
    </row>
    <row r="43" spans="1:10">
      <c r="A43" s="19">
        <v>42</v>
      </c>
      <c r="B43">
        <f t="shared" si="3"/>
        <v>44</v>
      </c>
      <c r="C43">
        <f t="shared" si="4"/>
        <v>43</v>
      </c>
      <c r="D43">
        <f t="shared" si="5"/>
        <v>53</v>
      </c>
      <c r="E43">
        <f t="shared" si="6"/>
        <v>200</v>
      </c>
      <c r="F43">
        <f t="shared" si="7"/>
        <v>0.0248460425197335</v>
      </c>
      <c r="G43">
        <f t="shared" si="8"/>
        <v>0.470406878283903</v>
      </c>
      <c r="J43" t="s">
        <v>10</v>
      </c>
    </row>
    <row r="44" spans="1:10">
      <c r="A44" s="19">
        <v>43</v>
      </c>
      <c r="B44">
        <f t="shared" si="3"/>
        <v>45</v>
      </c>
      <c r="C44">
        <f t="shared" si="4"/>
        <v>44</v>
      </c>
      <c r="D44">
        <f t="shared" si="5"/>
        <v>77</v>
      </c>
      <c r="E44">
        <f t="shared" si="6"/>
        <v>150</v>
      </c>
      <c r="F44">
        <f t="shared" si="7"/>
        <v>0.0269252990527845</v>
      </c>
      <c r="G44">
        <f t="shared" si="8"/>
        <v>0.352805158712927</v>
      </c>
      <c r="J44" t="s">
        <v>10</v>
      </c>
    </row>
    <row r="45" spans="1:10">
      <c r="A45" s="19">
        <v>44</v>
      </c>
      <c r="B45">
        <f t="shared" si="3"/>
        <v>60</v>
      </c>
      <c r="C45">
        <f t="shared" si="4"/>
        <v>45</v>
      </c>
      <c r="D45">
        <f t="shared" si="5"/>
        <v>81</v>
      </c>
      <c r="E45">
        <f t="shared" si="6"/>
        <v>100</v>
      </c>
      <c r="F45">
        <f t="shared" si="7"/>
        <v>0.0303294509825929</v>
      </c>
      <c r="G45">
        <f t="shared" si="8"/>
        <v>0.235203439141951</v>
      </c>
      <c r="J45" t="s">
        <v>10</v>
      </c>
    </row>
    <row r="46" spans="1:10">
      <c r="A46" s="19">
        <v>45</v>
      </c>
      <c r="B46">
        <f t="shared" si="3"/>
        <v>46</v>
      </c>
      <c r="C46">
        <f t="shared" si="4"/>
        <v>32</v>
      </c>
      <c r="D46">
        <f t="shared" si="5"/>
        <v>38</v>
      </c>
      <c r="E46">
        <f t="shared" si="6"/>
        <v>65</v>
      </c>
      <c r="F46">
        <f t="shared" si="7"/>
        <v>0.0347051014322117</v>
      </c>
      <c r="G46">
        <f t="shared" si="8"/>
        <v>0.152882235442268</v>
      </c>
      <c r="J46" t="s">
        <v>10</v>
      </c>
    </row>
    <row r="47" spans="1:10">
      <c r="A47" s="19">
        <v>46</v>
      </c>
      <c r="B47">
        <f t="shared" si="3"/>
        <v>47</v>
      </c>
      <c r="C47">
        <f t="shared" si="4"/>
        <v>33</v>
      </c>
      <c r="D47">
        <f t="shared" si="5"/>
        <v>71</v>
      </c>
      <c r="E47">
        <f t="shared" si="6"/>
        <v>65</v>
      </c>
      <c r="F47">
        <f t="shared" si="7"/>
        <v>0.0347051014322117</v>
      </c>
      <c r="G47">
        <f t="shared" si="8"/>
        <v>0.152882235442268</v>
      </c>
      <c r="J47" t="s">
        <v>10</v>
      </c>
    </row>
    <row r="48" spans="1:10">
      <c r="A48" s="19">
        <v>47</v>
      </c>
      <c r="B48">
        <f t="shared" si="3"/>
        <v>48</v>
      </c>
      <c r="C48">
        <f t="shared" si="4"/>
        <v>34</v>
      </c>
      <c r="D48">
        <f t="shared" si="5"/>
        <v>40</v>
      </c>
      <c r="E48">
        <f t="shared" si="6"/>
        <v>100</v>
      </c>
      <c r="F48">
        <f t="shared" si="7"/>
        <v>0.0303294509825929</v>
      </c>
      <c r="G48">
        <f t="shared" si="8"/>
        <v>0.235203439141951</v>
      </c>
      <c r="J48" t="s">
        <v>10</v>
      </c>
    </row>
    <row r="49" spans="1:10">
      <c r="A49" s="19">
        <v>48</v>
      </c>
      <c r="B49">
        <f t="shared" si="3"/>
        <v>49</v>
      </c>
      <c r="C49">
        <f t="shared" si="4"/>
        <v>35</v>
      </c>
      <c r="D49">
        <f t="shared" si="5"/>
        <v>40</v>
      </c>
      <c r="E49">
        <f t="shared" si="6"/>
        <v>50</v>
      </c>
      <c r="F49">
        <f t="shared" si="7"/>
        <v>0.0378506866114551</v>
      </c>
      <c r="G49">
        <f t="shared" si="8"/>
        <v>0.117601719570976</v>
      </c>
      <c r="J49" t="s">
        <v>10</v>
      </c>
    </row>
    <row r="50" spans="1:10">
      <c r="A50" s="19">
        <v>49</v>
      </c>
      <c r="B50">
        <f t="shared" si="3"/>
        <v>50</v>
      </c>
      <c r="C50">
        <f t="shared" si="4"/>
        <v>36</v>
      </c>
      <c r="D50">
        <f t="shared" si="5"/>
        <v>78</v>
      </c>
      <c r="E50">
        <f t="shared" si="6"/>
        <v>80</v>
      </c>
      <c r="F50">
        <f t="shared" si="7"/>
        <v>0.032485497883736</v>
      </c>
      <c r="G50">
        <f t="shared" si="8"/>
        <v>0.188162751313561</v>
      </c>
      <c r="J50" t="s">
        <v>10</v>
      </c>
    </row>
    <row r="51" spans="1:10">
      <c r="A51" s="19">
        <v>50</v>
      </c>
      <c r="B51">
        <f t="shared" si="3"/>
        <v>51</v>
      </c>
      <c r="C51">
        <f t="shared" si="4"/>
        <v>37</v>
      </c>
      <c r="D51">
        <f t="shared" si="5"/>
        <v>94</v>
      </c>
      <c r="E51">
        <f t="shared" si="6"/>
        <v>65</v>
      </c>
      <c r="F51">
        <f t="shared" si="7"/>
        <v>0.0347051014322117</v>
      </c>
      <c r="G51">
        <f t="shared" si="8"/>
        <v>0.152882235442268</v>
      </c>
      <c r="J51" t="s">
        <v>10</v>
      </c>
    </row>
    <row r="52" spans="1:10">
      <c r="A52" s="19">
        <v>51</v>
      </c>
      <c r="B52">
        <f t="shared" si="3"/>
        <v>52</v>
      </c>
      <c r="C52">
        <f t="shared" si="4"/>
        <v>38</v>
      </c>
      <c r="D52">
        <f t="shared" si="5"/>
        <v>32</v>
      </c>
      <c r="E52">
        <f t="shared" si="6"/>
        <v>65</v>
      </c>
      <c r="F52">
        <f t="shared" si="7"/>
        <v>0.0347051014322117</v>
      </c>
      <c r="G52">
        <f t="shared" si="8"/>
        <v>0.152882235442268</v>
      </c>
      <c r="J52" t="s">
        <v>10</v>
      </c>
    </row>
    <row r="53" spans="1:10">
      <c r="A53" s="19">
        <v>52</v>
      </c>
      <c r="B53">
        <f t="shared" si="3"/>
        <v>53</v>
      </c>
      <c r="C53">
        <f t="shared" si="4"/>
        <v>39</v>
      </c>
      <c r="D53">
        <f t="shared" si="5"/>
        <v>61</v>
      </c>
      <c r="E53">
        <f t="shared" si="6"/>
        <v>65</v>
      </c>
      <c r="F53">
        <f t="shared" si="7"/>
        <v>0.0347051014322117</v>
      </c>
      <c r="G53">
        <f t="shared" si="8"/>
        <v>0.152882235442268</v>
      </c>
      <c r="J53" t="s">
        <v>10</v>
      </c>
    </row>
    <row r="54" spans="1:10">
      <c r="A54" s="19">
        <v>53</v>
      </c>
      <c r="B54">
        <f t="shared" si="3"/>
        <v>54</v>
      </c>
      <c r="C54">
        <f t="shared" si="4"/>
        <v>40</v>
      </c>
      <c r="D54">
        <f t="shared" si="5"/>
        <v>46</v>
      </c>
      <c r="E54">
        <f t="shared" si="6"/>
        <v>65</v>
      </c>
      <c r="F54">
        <f t="shared" si="7"/>
        <v>0.0347051014322117</v>
      </c>
      <c r="G54">
        <f t="shared" si="8"/>
        <v>0.152882235442268</v>
      </c>
      <c r="J54" t="s">
        <v>10</v>
      </c>
    </row>
    <row r="55" spans="1:10">
      <c r="A55" s="19">
        <v>54</v>
      </c>
      <c r="B55">
        <f t="shared" si="3"/>
        <v>55</v>
      </c>
      <c r="C55">
        <f t="shared" si="4"/>
        <v>41</v>
      </c>
      <c r="D55">
        <f t="shared" si="5"/>
        <v>58</v>
      </c>
      <c r="E55">
        <f t="shared" si="6"/>
        <v>100</v>
      </c>
      <c r="F55">
        <f t="shared" si="7"/>
        <v>0.0303294509825929</v>
      </c>
      <c r="G55">
        <f t="shared" si="8"/>
        <v>0.235203439141951</v>
      </c>
      <c r="J55" t="s">
        <v>10</v>
      </c>
    </row>
    <row r="56" spans="1:10">
      <c r="A56" s="19">
        <v>55</v>
      </c>
      <c r="B56">
        <f t="shared" si="3"/>
        <v>56</v>
      </c>
      <c r="C56">
        <f t="shared" si="4"/>
        <v>42</v>
      </c>
      <c r="D56">
        <f t="shared" si="5"/>
        <v>33</v>
      </c>
      <c r="E56">
        <f t="shared" si="6"/>
        <v>100</v>
      </c>
      <c r="F56">
        <f t="shared" si="7"/>
        <v>0.0303294509825929</v>
      </c>
      <c r="G56">
        <f t="shared" si="8"/>
        <v>0.235203439141951</v>
      </c>
      <c r="J56" t="s">
        <v>10</v>
      </c>
    </row>
    <row r="57" spans="1:10">
      <c r="A57" s="19">
        <v>56</v>
      </c>
      <c r="B57">
        <f t="shared" si="3"/>
        <v>57</v>
      </c>
      <c r="C57">
        <f t="shared" si="4"/>
        <v>43</v>
      </c>
      <c r="D57">
        <f t="shared" si="5"/>
        <v>45</v>
      </c>
      <c r="E57">
        <f t="shared" si="6"/>
        <v>100</v>
      </c>
      <c r="F57">
        <f t="shared" si="7"/>
        <v>0.0303294509825929</v>
      </c>
      <c r="G57">
        <f t="shared" si="8"/>
        <v>0.235203439141951</v>
      </c>
      <c r="J57" t="s">
        <v>10</v>
      </c>
    </row>
    <row r="58" spans="1:10">
      <c r="A58" s="19">
        <v>57</v>
      </c>
      <c r="B58">
        <f t="shared" si="3"/>
        <v>58</v>
      </c>
      <c r="C58">
        <f t="shared" si="4"/>
        <v>44</v>
      </c>
      <c r="D58">
        <f t="shared" si="5"/>
        <v>95</v>
      </c>
      <c r="E58">
        <f t="shared" si="6"/>
        <v>125</v>
      </c>
      <c r="F58">
        <f t="shared" si="7"/>
        <v>0.0283811358286925</v>
      </c>
      <c r="G58">
        <f t="shared" si="8"/>
        <v>0.294004298927439</v>
      </c>
      <c r="J58" t="s">
        <v>10</v>
      </c>
    </row>
    <row r="59" spans="1:10">
      <c r="A59" s="19">
        <v>58</v>
      </c>
      <c r="B59">
        <f t="shared" si="3"/>
        <v>59</v>
      </c>
      <c r="C59">
        <f t="shared" si="4"/>
        <v>45</v>
      </c>
      <c r="D59">
        <f t="shared" si="5"/>
        <v>86</v>
      </c>
      <c r="E59">
        <f t="shared" si="6"/>
        <v>100</v>
      </c>
      <c r="F59">
        <f t="shared" si="7"/>
        <v>0.0303294509825929</v>
      </c>
      <c r="G59">
        <f t="shared" si="8"/>
        <v>0.235203439141951</v>
      </c>
      <c r="J59" t="s">
        <v>10</v>
      </c>
    </row>
    <row r="60" spans="1:10">
      <c r="A60" s="20">
        <v>59</v>
      </c>
      <c r="B60">
        <v>16</v>
      </c>
      <c r="C60">
        <f>B60+30</f>
        <v>46</v>
      </c>
      <c r="D60">
        <f>管径设计!C35</f>
        <v>24.4230064720967</v>
      </c>
      <c r="E60">
        <f>管径设计!D35</f>
        <v>65</v>
      </c>
      <c r="F60">
        <f t="shared" si="7"/>
        <v>0.0347051014322117</v>
      </c>
      <c r="G60">
        <f t="shared" si="8"/>
        <v>0.152882235442268</v>
      </c>
      <c r="J60" s="8" t="s">
        <v>21</v>
      </c>
    </row>
    <row r="61" spans="1:10">
      <c r="A61" s="20">
        <v>60</v>
      </c>
      <c r="B61">
        <v>17</v>
      </c>
      <c r="C61">
        <f t="shared" ref="C61:C74" si="9">B61+30</f>
        <v>47</v>
      </c>
      <c r="D61">
        <f>管径设计!C36</f>
        <v>35.1679268507121</v>
      </c>
      <c r="E61">
        <f>管径设计!D36</f>
        <v>65</v>
      </c>
      <c r="F61">
        <f t="shared" si="7"/>
        <v>0.0347051014322117</v>
      </c>
      <c r="G61">
        <f t="shared" si="8"/>
        <v>0.152882235442268</v>
      </c>
      <c r="J61" s="8" t="s">
        <v>21</v>
      </c>
    </row>
    <row r="62" spans="1:10">
      <c r="A62" s="20">
        <v>61</v>
      </c>
      <c r="B62">
        <v>18</v>
      </c>
      <c r="C62">
        <f t="shared" si="9"/>
        <v>48</v>
      </c>
      <c r="D62">
        <f>管径设计!C37</f>
        <v>54.6149645002731</v>
      </c>
      <c r="E62">
        <f>管径设计!D37</f>
        <v>100</v>
      </c>
      <c r="F62">
        <f t="shared" si="7"/>
        <v>0.0303294509825929</v>
      </c>
      <c r="G62">
        <f t="shared" si="8"/>
        <v>0.235203439141951</v>
      </c>
      <c r="J62" s="8" t="s">
        <v>21</v>
      </c>
    </row>
    <row r="63" spans="1:10">
      <c r="A63" s="20">
        <v>62</v>
      </c>
      <c r="B63">
        <v>19</v>
      </c>
      <c r="C63">
        <f t="shared" si="9"/>
        <v>49</v>
      </c>
      <c r="D63">
        <f>管径设计!C38</f>
        <v>25.2844500632111</v>
      </c>
      <c r="E63">
        <f>管径设计!D38</f>
        <v>50</v>
      </c>
      <c r="F63">
        <f t="shared" si="7"/>
        <v>0.0378506866114551</v>
      </c>
      <c r="G63">
        <f t="shared" si="8"/>
        <v>0.117601719570976</v>
      </c>
      <c r="J63" s="8" t="s">
        <v>21</v>
      </c>
    </row>
    <row r="64" spans="1:10">
      <c r="A64" s="20">
        <v>63</v>
      </c>
      <c r="B64">
        <v>20</v>
      </c>
      <c r="C64">
        <f t="shared" si="9"/>
        <v>50</v>
      </c>
      <c r="D64">
        <f>管径设计!C39</f>
        <v>56.3380281690141</v>
      </c>
      <c r="E64">
        <f>管径设计!D39</f>
        <v>80</v>
      </c>
      <c r="F64">
        <f t="shared" si="7"/>
        <v>0.032485497883736</v>
      </c>
      <c r="G64">
        <f t="shared" si="8"/>
        <v>0.188162751313561</v>
      </c>
      <c r="J64" s="8" t="s">
        <v>21</v>
      </c>
    </row>
    <row r="65" spans="1:10">
      <c r="A65" s="20">
        <v>64</v>
      </c>
      <c r="B65">
        <v>21</v>
      </c>
      <c r="C65">
        <f t="shared" si="9"/>
        <v>51</v>
      </c>
      <c r="D65">
        <f>管径设计!C40</f>
        <v>97.7039570102589</v>
      </c>
      <c r="E65">
        <f>管径设计!D40</f>
        <v>65</v>
      </c>
      <c r="F65">
        <f t="shared" si="7"/>
        <v>0.0347051014322117</v>
      </c>
      <c r="G65">
        <f t="shared" si="8"/>
        <v>0.152882235442268</v>
      </c>
      <c r="J65" s="8" t="s">
        <v>21</v>
      </c>
    </row>
    <row r="66" spans="1:10">
      <c r="A66" s="20">
        <v>65</v>
      </c>
      <c r="B66">
        <v>22</v>
      </c>
      <c r="C66">
        <f t="shared" si="9"/>
        <v>52</v>
      </c>
      <c r="D66">
        <f>管径设计!C41</f>
        <v>116.279069767442</v>
      </c>
      <c r="E66">
        <f>管径设计!D41</f>
        <v>65</v>
      </c>
      <c r="F66">
        <f t="shared" si="7"/>
        <v>0.0347051014322117</v>
      </c>
      <c r="G66">
        <f t="shared" si="8"/>
        <v>0.152882235442268</v>
      </c>
      <c r="J66" s="8" t="s">
        <v>21</v>
      </c>
    </row>
    <row r="67" spans="1:10">
      <c r="A67" s="20">
        <v>66</v>
      </c>
      <c r="B67">
        <v>23</v>
      </c>
      <c r="C67">
        <f t="shared" si="9"/>
        <v>53</v>
      </c>
      <c r="D67">
        <f>管径设计!C42</f>
        <v>71.7875089734386</v>
      </c>
      <c r="E67">
        <f>管径设计!D42</f>
        <v>65</v>
      </c>
      <c r="F67">
        <f t="shared" si="7"/>
        <v>0.0347051014322117</v>
      </c>
      <c r="G67">
        <f t="shared" si="8"/>
        <v>0.152882235442268</v>
      </c>
      <c r="J67" s="8" t="s">
        <v>21</v>
      </c>
    </row>
    <row r="68" spans="1:10">
      <c r="A68" s="20">
        <v>67</v>
      </c>
      <c r="B68">
        <v>24</v>
      </c>
      <c r="C68">
        <f t="shared" si="9"/>
        <v>54</v>
      </c>
      <c r="D68">
        <f>管径设计!C43</f>
        <v>140.845070422535</v>
      </c>
      <c r="E68">
        <f>管径设计!D43</f>
        <v>65</v>
      </c>
      <c r="F68">
        <f t="shared" si="7"/>
        <v>0.0347051014322117</v>
      </c>
      <c r="G68">
        <f t="shared" si="8"/>
        <v>0.152882235442268</v>
      </c>
      <c r="J68" s="8" t="s">
        <v>21</v>
      </c>
    </row>
    <row r="69" spans="1:10">
      <c r="A69" s="20">
        <v>68</v>
      </c>
      <c r="B69">
        <v>25</v>
      </c>
      <c r="C69">
        <f t="shared" si="9"/>
        <v>55</v>
      </c>
      <c r="D69">
        <f>管径设计!C44</f>
        <v>105.042016806723</v>
      </c>
      <c r="E69">
        <f>管径设计!D44</f>
        <v>100</v>
      </c>
      <c r="F69">
        <f t="shared" si="7"/>
        <v>0.0303294509825929</v>
      </c>
      <c r="G69">
        <f t="shared" si="8"/>
        <v>0.235203439141951</v>
      </c>
      <c r="J69" s="8" t="s">
        <v>21</v>
      </c>
    </row>
    <row r="70" spans="1:10">
      <c r="A70" s="20">
        <v>69</v>
      </c>
      <c r="B70">
        <v>26</v>
      </c>
      <c r="C70">
        <f t="shared" si="9"/>
        <v>56</v>
      </c>
      <c r="D70">
        <f>管径设计!C45</f>
        <v>69.9300699300699</v>
      </c>
      <c r="E70">
        <f>管径设计!D45</f>
        <v>100</v>
      </c>
      <c r="F70">
        <f t="shared" si="7"/>
        <v>0.0303294509825929</v>
      </c>
      <c r="G70">
        <f t="shared" si="8"/>
        <v>0.235203439141951</v>
      </c>
      <c r="J70" s="8" t="s">
        <v>21</v>
      </c>
    </row>
    <row r="71" spans="1:10">
      <c r="A71" s="20">
        <v>70</v>
      </c>
      <c r="B71">
        <v>27</v>
      </c>
      <c r="C71">
        <f t="shared" si="9"/>
        <v>57</v>
      </c>
      <c r="D71">
        <f>管径设计!C46</f>
        <v>149.253731343284</v>
      </c>
      <c r="E71">
        <f>管径设计!D46</f>
        <v>100</v>
      </c>
      <c r="F71">
        <f t="shared" si="7"/>
        <v>0.0303294509825929</v>
      </c>
      <c r="G71">
        <f t="shared" si="8"/>
        <v>0.235203439141951</v>
      </c>
      <c r="J71" s="8" t="s">
        <v>21</v>
      </c>
    </row>
    <row r="72" spans="1:10">
      <c r="A72" s="20">
        <v>71</v>
      </c>
      <c r="B72">
        <v>28</v>
      </c>
      <c r="C72">
        <f t="shared" si="9"/>
        <v>58</v>
      </c>
      <c r="D72">
        <f>管径设计!C47</f>
        <v>322.58064516129</v>
      </c>
      <c r="E72">
        <f>管径设计!D47</f>
        <v>125</v>
      </c>
      <c r="F72">
        <f t="shared" si="7"/>
        <v>0.0283811358286925</v>
      </c>
      <c r="G72">
        <f t="shared" si="8"/>
        <v>0.294004298927439</v>
      </c>
      <c r="J72" s="8" t="s">
        <v>21</v>
      </c>
    </row>
    <row r="73" spans="1:10">
      <c r="A73" s="20">
        <v>72</v>
      </c>
      <c r="B73">
        <v>29</v>
      </c>
      <c r="C73">
        <f t="shared" si="9"/>
        <v>59</v>
      </c>
      <c r="D73">
        <f>管径设计!C48</f>
        <v>279.72027972028</v>
      </c>
      <c r="E73">
        <f>管径设计!D48</f>
        <v>100</v>
      </c>
      <c r="F73">
        <f t="shared" si="7"/>
        <v>0.0303294509825929</v>
      </c>
      <c r="G73">
        <f t="shared" si="8"/>
        <v>0.235203439141951</v>
      </c>
      <c r="J73" s="8" t="s">
        <v>21</v>
      </c>
    </row>
    <row r="74" spans="1:10">
      <c r="A74" s="20">
        <v>73</v>
      </c>
      <c r="B74">
        <v>30</v>
      </c>
      <c r="C74">
        <f t="shared" si="9"/>
        <v>60</v>
      </c>
      <c r="D74">
        <f>管径设计!C49</f>
        <v>349.65034965035</v>
      </c>
      <c r="E74">
        <f>管径设计!D49</f>
        <v>100</v>
      </c>
      <c r="F74">
        <f t="shared" si="7"/>
        <v>0.0303294509825929</v>
      </c>
      <c r="G74">
        <f t="shared" si="8"/>
        <v>0.235203439141951</v>
      </c>
      <c r="J74" s="8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B16" sqref="B16"/>
    </sheetView>
  </sheetViews>
  <sheetFormatPr defaultColWidth="9.23076923076923" defaultRowHeight="16.8" outlineLevelCol="1"/>
  <sheetData>
    <row r="1" spans="1:2">
      <c r="A1" t="s">
        <v>22</v>
      </c>
      <c r="B1">
        <v>2</v>
      </c>
    </row>
    <row r="2" spans="1:2">
      <c r="A2" t="s">
        <v>23</v>
      </c>
      <c r="B2">
        <v>2</v>
      </c>
    </row>
    <row r="3" spans="1:2">
      <c r="A3" t="s">
        <v>24</v>
      </c>
      <c r="B3">
        <v>2</v>
      </c>
    </row>
    <row r="4" spans="1:2">
      <c r="A4" t="s">
        <v>25</v>
      </c>
      <c r="B4">
        <v>2</v>
      </c>
    </row>
    <row r="5" spans="1:2">
      <c r="A5" t="s">
        <v>26</v>
      </c>
      <c r="B5">
        <v>2</v>
      </c>
    </row>
    <row r="6" spans="1:2">
      <c r="A6" t="s">
        <v>27</v>
      </c>
      <c r="B6">
        <v>2</v>
      </c>
    </row>
    <row r="7" spans="1:2">
      <c r="A7" t="s">
        <v>28</v>
      </c>
      <c r="B7">
        <v>2</v>
      </c>
    </row>
    <row r="8" spans="1:2">
      <c r="A8" t="s">
        <v>29</v>
      </c>
      <c r="B8">
        <v>2</v>
      </c>
    </row>
    <row r="9" spans="1:2">
      <c r="A9" t="s">
        <v>30</v>
      </c>
      <c r="B9">
        <v>2</v>
      </c>
    </row>
    <row r="10" spans="1:2">
      <c r="A10" t="s">
        <v>31</v>
      </c>
      <c r="B10">
        <v>2</v>
      </c>
    </row>
    <row r="11" spans="1:2">
      <c r="A11" t="s">
        <v>32</v>
      </c>
      <c r="B11">
        <v>2</v>
      </c>
    </row>
    <row r="12" spans="1:2">
      <c r="A12" t="s">
        <v>33</v>
      </c>
      <c r="B12">
        <v>2</v>
      </c>
    </row>
    <row r="13" spans="1:2">
      <c r="A13" t="s">
        <v>34</v>
      </c>
      <c r="B13">
        <v>2</v>
      </c>
    </row>
    <row r="14" spans="1:2">
      <c r="A14" t="s">
        <v>35</v>
      </c>
      <c r="B14">
        <v>2</v>
      </c>
    </row>
    <row r="15" spans="1:2">
      <c r="A15" t="s">
        <v>36</v>
      </c>
      <c r="B15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84" zoomScaleNormal="84" workbookViewId="0">
      <selection activeCell="J20" sqref="J20"/>
    </sheetView>
  </sheetViews>
  <sheetFormatPr defaultColWidth="9.23076923076923" defaultRowHeight="16.8"/>
  <cols>
    <col min="8" max="8" width="14.7692307692308" customWidth="1"/>
    <col min="9" max="9" width="19.6923076923077" customWidth="1"/>
    <col min="10" max="12" width="12.9230769230769"/>
  </cols>
  <sheetData>
    <row r="1" spans="1:15">
      <c r="A1" t="s">
        <v>0</v>
      </c>
      <c r="B1" t="s">
        <v>14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s="14" t="s">
        <v>42</v>
      </c>
      <c r="I1" t="s">
        <v>43</v>
      </c>
      <c r="J1" t="s">
        <v>44</v>
      </c>
      <c r="K1" t="s">
        <v>1</v>
      </c>
      <c r="L1" t="s">
        <v>45</v>
      </c>
      <c r="M1" s="8" t="s">
        <v>20</v>
      </c>
      <c r="N1" s="8" t="s">
        <v>46</v>
      </c>
      <c r="O1" s="8" t="s">
        <v>47</v>
      </c>
    </row>
    <row r="2" spans="1:15">
      <c r="A2">
        <v>1</v>
      </c>
      <c r="B2" s="2">
        <v>27</v>
      </c>
      <c r="C2" s="4">
        <v>30</v>
      </c>
      <c r="D2">
        <v>3</v>
      </c>
      <c r="E2" s="6">
        <v>7</v>
      </c>
      <c r="F2">
        <f>B2*C2*E2</f>
        <v>5670</v>
      </c>
      <c r="G2">
        <v>10</v>
      </c>
      <c r="H2">
        <f>F2*50</f>
        <v>283500</v>
      </c>
      <c r="I2">
        <f t="shared" ref="I2:I16" si="0">H2/1000/10/4.2*3.6</f>
        <v>24.3</v>
      </c>
      <c r="J2">
        <f>H2/(50-20)*1</f>
        <v>9450</v>
      </c>
      <c r="K2" t="s">
        <v>48</v>
      </c>
      <c r="L2">
        <f>SUM(I2:I16)</f>
        <v>339.672857142857</v>
      </c>
      <c r="M2">
        <f ca="1">RANDBETWEEN(25,45)</f>
        <v>40</v>
      </c>
      <c r="N2">
        <f ca="1">RANDBETWEEN(10,30)</f>
        <v>11</v>
      </c>
      <c r="O2">
        <f ca="1">RANDBETWEEN(4,15)</f>
        <v>13</v>
      </c>
    </row>
    <row r="3" spans="1:15">
      <c r="A3">
        <v>2</v>
      </c>
      <c r="B3" s="5">
        <v>34</v>
      </c>
      <c r="C3" s="7">
        <v>21</v>
      </c>
      <c r="D3">
        <v>3</v>
      </c>
      <c r="E3" s="6">
        <v>7</v>
      </c>
      <c r="F3">
        <f t="shared" ref="F3:F16" si="1">B3*C3*E3</f>
        <v>4998</v>
      </c>
      <c r="G3">
        <v>10</v>
      </c>
      <c r="H3">
        <f t="shared" ref="H3:H16" si="2">F3*50</f>
        <v>249900</v>
      </c>
      <c r="I3">
        <f t="shared" si="0"/>
        <v>21.42</v>
      </c>
      <c r="J3">
        <f t="shared" ref="J3:J16" si="3">H3/(50-20)*1</f>
        <v>8330</v>
      </c>
      <c r="K3" t="s">
        <v>48</v>
      </c>
      <c r="M3">
        <f ca="1" t="shared" ref="M3:M16" si="4">RANDBETWEEN(25,45)</f>
        <v>35</v>
      </c>
      <c r="N3">
        <f ca="1" t="shared" ref="N3:N16" si="5">RANDBETWEEN(10,30)</f>
        <v>13</v>
      </c>
      <c r="O3">
        <f ca="1" t="shared" ref="O3:O16" si="6">RANDBETWEEN(4,15)</f>
        <v>9</v>
      </c>
    </row>
    <row r="4" spans="1:15">
      <c r="A4">
        <v>3</v>
      </c>
      <c r="B4" s="5">
        <v>31</v>
      </c>
      <c r="C4" s="7">
        <v>22</v>
      </c>
      <c r="D4">
        <v>3</v>
      </c>
      <c r="E4" s="6">
        <v>15</v>
      </c>
      <c r="F4">
        <f t="shared" si="1"/>
        <v>10230</v>
      </c>
      <c r="G4">
        <v>10</v>
      </c>
      <c r="H4">
        <f t="shared" si="2"/>
        <v>511500</v>
      </c>
      <c r="I4">
        <f t="shared" si="0"/>
        <v>43.8428571428571</v>
      </c>
      <c r="J4">
        <f t="shared" si="3"/>
        <v>17050</v>
      </c>
      <c r="K4" t="s">
        <v>48</v>
      </c>
      <c r="M4">
        <f ca="1" t="shared" si="4"/>
        <v>37</v>
      </c>
      <c r="N4">
        <f ca="1" t="shared" si="5"/>
        <v>12</v>
      </c>
      <c r="O4">
        <f ca="1" t="shared" si="6"/>
        <v>8</v>
      </c>
    </row>
    <row r="5" spans="1:15">
      <c r="A5">
        <v>4</v>
      </c>
      <c r="B5" s="5">
        <v>44</v>
      </c>
      <c r="C5" s="7">
        <v>14</v>
      </c>
      <c r="D5">
        <v>3</v>
      </c>
      <c r="E5" s="6">
        <v>4</v>
      </c>
      <c r="F5">
        <f t="shared" si="1"/>
        <v>2464</v>
      </c>
      <c r="G5">
        <v>10</v>
      </c>
      <c r="H5">
        <f t="shared" si="2"/>
        <v>123200</v>
      </c>
      <c r="I5">
        <f t="shared" si="0"/>
        <v>10.56</v>
      </c>
      <c r="J5">
        <f t="shared" si="3"/>
        <v>4106.66666666667</v>
      </c>
      <c r="K5" t="s">
        <v>48</v>
      </c>
      <c r="M5">
        <f ca="1" t="shared" si="4"/>
        <v>38</v>
      </c>
      <c r="N5">
        <f ca="1" t="shared" si="5"/>
        <v>22</v>
      </c>
      <c r="O5">
        <f ca="1" t="shared" si="6"/>
        <v>7</v>
      </c>
    </row>
    <row r="6" spans="1:15">
      <c r="A6">
        <v>5</v>
      </c>
      <c r="B6" s="5">
        <v>25</v>
      </c>
      <c r="C6" s="7">
        <v>17</v>
      </c>
      <c r="D6">
        <v>3</v>
      </c>
      <c r="E6" s="6">
        <v>14</v>
      </c>
      <c r="F6">
        <f t="shared" si="1"/>
        <v>5950</v>
      </c>
      <c r="G6">
        <v>10</v>
      </c>
      <c r="H6">
        <f t="shared" si="2"/>
        <v>297500</v>
      </c>
      <c r="I6">
        <f t="shared" si="0"/>
        <v>25.5</v>
      </c>
      <c r="J6">
        <f t="shared" si="3"/>
        <v>9916.66666666667</v>
      </c>
      <c r="K6" t="s">
        <v>48</v>
      </c>
      <c r="M6">
        <f ca="1" t="shared" si="4"/>
        <v>31</v>
      </c>
      <c r="N6">
        <f ca="1" t="shared" si="5"/>
        <v>16</v>
      </c>
      <c r="O6">
        <f ca="1" t="shared" si="6"/>
        <v>6</v>
      </c>
    </row>
    <row r="7" spans="1:15">
      <c r="A7">
        <v>6</v>
      </c>
      <c r="B7" s="5">
        <v>39</v>
      </c>
      <c r="C7" s="7">
        <v>18</v>
      </c>
      <c r="D7">
        <v>3</v>
      </c>
      <c r="E7" s="6">
        <v>4</v>
      </c>
      <c r="F7">
        <f t="shared" si="1"/>
        <v>2808</v>
      </c>
      <c r="G7">
        <v>10</v>
      </c>
      <c r="H7">
        <f t="shared" si="2"/>
        <v>140400</v>
      </c>
      <c r="I7">
        <f t="shared" si="0"/>
        <v>12.0342857142857</v>
      </c>
      <c r="J7">
        <f t="shared" si="3"/>
        <v>4680</v>
      </c>
      <c r="K7" t="s">
        <v>48</v>
      </c>
      <c r="M7">
        <f ca="1" t="shared" si="4"/>
        <v>32</v>
      </c>
      <c r="N7">
        <f ca="1" t="shared" si="5"/>
        <v>28</v>
      </c>
      <c r="O7">
        <f ca="1" t="shared" si="6"/>
        <v>15</v>
      </c>
    </row>
    <row r="8" spans="1:15">
      <c r="A8">
        <v>7</v>
      </c>
      <c r="B8" s="5">
        <v>25</v>
      </c>
      <c r="C8" s="7">
        <v>22</v>
      </c>
      <c r="D8">
        <v>3</v>
      </c>
      <c r="E8" s="6">
        <v>5</v>
      </c>
      <c r="F8">
        <f t="shared" si="1"/>
        <v>2750</v>
      </c>
      <c r="G8">
        <v>10</v>
      </c>
      <c r="H8">
        <f t="shared" si="2"/>
        <v>137500</v>
      </c>
      <c r="I8">
        <f t="shared" si="0"/>
        <v>11.7857142857143</v>
      </c>
      <c r="J8">
        <f t="shared" si="3"/>
        <v>4583.33333333333</v>
      </c>
      <c r="K8" t="s">
        <v>48</v>
      </c>
      <c r="M8">
        <f ca="1" t="shared" si="4"/>
        <v>44</v>
      </c>
      <c r="N8">
        <f ca="1" t="shared" si="5"/>
        <v>29</v>
      </c>
      <c r="O8">
        <f ca="1" t="shared" si="6"/>
        <v>12</v>
      </c>
    </row>
    <row r="9" spans="1:15">
      <c r="A9">
        <v>8</v>
      </c>
      <c r="B9" s="5">
        <v>29</v>
      </c>
      <c r="C9" s="7">
        <v>29</v>
      </c>
      <c r="D9">
        <v>3</v>
      </c>
      <c r="E9" s="6">
        <v>4</v>
      </c>
      <c r="F9">
        <f t="shared" si="1"/>
        <v>3364</v>
      </c>
      <c r="G9">
        <v>10</v>
      </c>
      <c r="H9">
        <f t="shared" si="2"/>
        <v>168200</v>
      </c>
      <c r="I9">
        <f t="shared" si="0"/>
        <v>14.4171428571429</v>
      </c>
      <c r="J9">
        <f t="shared" si="3"/>
        <v>5606.66666666667</v>
      </c>
      <c r="K9" t="s">
        <v>48</v>
      </c>
      <c r="M9">
        <f ca="1" t="shared" si="4"/>
        <v>37</v>
      </c>
      <c r="N9">
        <f ca="1" t="shared" si="5"/>
        <v>16</v>
      </c>
      <c r="O9">
        <f ca="1" t="shared" si="6"/>
        <v>15</v>
      </c>
    </row>
    <row r="10" spans="1:15">
      <c r="A10">
        <v>9</v>
      </c>
      <c r="B10" s="5">
        <v>28</v>
      </c>
      <c r="C10" s="7">
        <v>15</v>
      </c>
      <c r="D10">
        <v>3</v>
      </c>
      <c r="E10" s="6">
        <v>6</v>
      </c>
      <c r="F10">
        <f t="shared" si="1"/>
        <v>2520</v>
      </c>
      <c r="G10">
        <v>10</v>
      </c>
      <c r="H10">
        <f t="shared" si="2"/>
        <v>126000</v>
      </c>
      <c r="I10">
        <f t="shared" si="0"/>
        <v>10.8</v>
      </c>
      <c r="J10">
        <f t="shared" si="3"/>
        <v>4200</v>
      </c>
      <c r="K10" t="s">
        <v>48</v>
      </c>
      <c r="M10">
        <f ca="1" t="shared" si="4"/>
        <v>44</v>
      </c>
      <c r="N10">
        <f ca="1" t="shared" si="5"/>
        <v>23</v>
      </c>
      <c r="O10">
        <f ca="1" t="shared" si="6"/>
        <v>4</v>
      </c>
    </row>
    <row r="11" spans="1:15">
      <c r="A11">
        <v>10</v>
      </c>
      <c r="B11" s="5">
        <v>45</v>
      </c>
      <c r="C11" s="7">
        <v>23</v>
      </c>
      <c r="D11">
        <v>3</v>
      </c>
      <c r="E11" s="6">
        <v>7</v>
      </c>
      <c r="F11">
        <f t="shared" si="1"/>
        <v>7245</v>
      </c>
      <c r="G11">
        <v>10</v>
      </c>
      <c r="H11">
        <f t="shared" si="2"/>
        <v>362250</v>
      </c>
      <c r="I11">
        <f t="shared" si="0"/>
        <v>31.05</v>
      </c>
      <c r="J11">
        <f t="shared" si="3"/>
        <v>12075</v>
      </c>
      <c r="K11" t="s">
        <v>48</v>
      </c>
      <c r="M11">
        <f ca="1" t="shared" si="4"/>
        <v>26</v>
      </c>
      <c r="N11">
        <f ca="1" t="shared" si="5"/>
        <v>21</v>
      </c>
      <c r="O11">
        <f ca="1" t="shared" si="6"/>
        <v>8</v>
      </c>
    </row>
    <row r="12" spans="1:15">
      <c r="A12">
        <v>11</v>
      </c>
      <c r="B12" s="5">
        <v>37</v>
      </c>
      <c r="C12" s="7">
        <v>24</v>
      </c>
      <c r="D12">
        <v>3</v>
      </c>
      <c r="E12" s="6">
        <v>10</v>
      </c>
      <c r="F12">
        <f t="shared" si="1"/>
        <v>8880</v>
      </c>
      <c r="G12">
        <v>10</v>
      </c>
      <c r="H12">
        <f t="shared" si="2"/>
        <v>444000</v>
      </c>
      <c r="I12">
        <f t="shared" si="0"/>
        <v>38.0571428571429</v>
      </c>
      <c r="J12">
        <f t="shared" si="3"/>
        <v>14800</v>
      </c>
      <c r="K12" t="s">
        <v>48</v>
      </c>
      <c r="M12">
        <f ca="1" t="shared" si="4"/>
        <v>32</v>
      </c>
      <c r="N12">
        <f ca="1" t="shared" si="5"/>
        <v>11</v>
      </c>
      <c r="O12">
        <f ca="1" t="shared" si="6"/>
        <v>10</v>
      </c>
    </row>
    <row r="13" spans="1:15">
      <c r="A13">
        <v>12</v>
      </c>
      <c r="B13" s="5">
        <v>39</v>
      </c>
      <c r="C13" s="7">
        <v>12</v>
      </c>
      <c r="D13">
        <v>3</v>
      </c>
      <c r="E13" s="6">
        <v>13</v>
      </c>
      <c r="F13">
        <f t="shared" si="1"/>
        <v>6084</v>
      </c>
      <c r="G13">
        <v>10</v>
      </c>
      <c r="H13">
        <f t="shared" si="2"/>
        <v>304200</v>
      </c>
      <c r="I13">
        <f t="shared" si="0"/>
        <v>26.0742857142857</v>
      </c>
      <c r="J13">
        <f t="shared" si="3"/>
        <v>10140</v>
      </c>
      <c r="K13" t="s">
        <v>48</v>
      </c>
      <c r="M13">
        <f ca="1" t="shared" si="4"/>
        <v>40</v>
      </c>
      <c r="N13">
        <f ca="1" t="shared" si="5"/>
        <v>29</v>
      </c>
      <c r="O13">
        <f ca="1" t="shared" si="6"/>
        <v>6</v>
      </c>
    </row>
    <row r="14" spans="1:15">
      <c r="A14">
        <v>13</v>
      </c>
      <c r="B14" s="5">
        <v>45</v>
      </c>
      <c r="C14" s="7">
        <v>28</v>
      </c>
      <c r="D14">
        <v>3</v>
      </c>
      <c r="E14" s="6">
        <v>6</v>
      </c>
      <c r="F14">
        <f t="shared" si="1"/>
        <v>7560</v>
      </c>
      <c r="G14">
        <v>10</v>
      </c>
      <c r="H14">
        <f t="shared" si="2"/>
        <v>378000</v>
      </c>
      <c r="I14">
        <f t="shared" si="0"/>
        <v>32.4</v>
      </c>
      <c r="J14">
        <f t="shared" si="3"/>
        <v>12600</v>
      </c>
      <c r="K14" t="s">
        <v>48</v>
      </c>
      <c r="M14">
        <f ca="1" t="shared" si="4"/>
        <v>41</v>
      </c>
      <c r="N14">
        <f ca="1" t="shared" si="5"/>
        <v>10</v>
      </c>
      <c r="O14">
        <f ca="1" t="shared" si="6"/>
        <v>14</v>
      </c>
    </row>
    <row r="15" spans="1:15">
      <c r="A15">
        <v>14</v>
      </c>
      <c r="B15" s="5">
        <v>33</v>
      </c>
      <c r="C15" s="7">
        <v>20</v>
      </c>
      <c r="D15">
        <v>3</v>
      </c>
      <c r="E15" s="6">
        <v>7</v>
      </c>
      <c r="F15">
        <f t="shared" si="1"/>
        <v>4620</v>
      </c>
      <c r="G15">
        <v>10</v>
      </c>
      <c r="H15">
        <f t="shared" si="2"/>
        <v>231000</v>
      </c>
      <c r="I15">
        <f t="shared" si="0"/>
        <v>19.8</v>
      </c>
      <c r="J15">
        <f t="shared" si="3"/>
        <v>7700</v>
      </c>
      <c r="K15" t="s">
        <v>48</v>
      </c>
      <c r="M15">
        <f ca="1" t="shared" si="4"/>
        <v>26</v>
      </c>
      <c r="N15">
        <f ca="1" t="shared" si="5"/>
        <v>29</v>
      </c>
      <c r="O15">
        <f ca="1" t="shared" si="6"/>
        <v>4</v>
      </c>
    </row>
    <row r="16" spans="1:15">
      <c r="A16">
        <v>15</v>
      </c>
      <c r="B16" s="10">
        <v>34</v>
      </c>
      <c r="C16" s="12">
        <v>11</v>
      </c>
      <c r="D16">
        <v>3</v>
      </c>
      <c r="E16" s="6">
        <v>11</v>
      </c>
      <c r="F16">
        <f t="shared" si="1"/>
        <v>4114</v>
      </c>
      <c r="G16">
        <v>10</v>
      </c>
      <c r="H16">
        <f t="shared" si="2"/>
        <v>205700</v>
      </c>
      <c r="I16">
        <f t="shared" si="0"/>
        <v>17.6314285714286</v>
      </c>
      <c r="J16">
        <f t="shared" si="3"/>
        <v>6856.66666666667</v>
      </c>
      <c r="K16" t="s">
        <v>48</v>
      </c>
      <c r="M16">
        <f ca="1" t="shared" si="4"/>
        <v>45</v>
      </c>
      <c r="N16">
        <f ca="1" t="shared" si="5"/>
        <v>16</v>
      </c>
      <c r="O16">
        <f ca="1" t="shared" si="6"/>
        <v>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workbookViewId="0">
      <selection activeCell="B44" sqref="B44"/>
    </sheetView>
  </sheetViews>
  <sheetFormatPr defaultColWidth="9.23076923076923" defaultRowHeight="16.8"/>
  <cols>
    <col min="2" max="2" width="15" customWidth="1"/>
    <col min="3" max="3" width="13.6153846153846" customWidth="1"/>
    <col min="4" max="4" width="14.1538461538462" customWidth="1"/>
    <col min="7" max="7" width="16.0769230769231" customWidth="1"/>
    <col min="9" max="9" width="12.7692307692308" customWidth="1"/>
    <col min="10" max="10" width="17.3846153846154" customWidth="1"/>
    <col min="11" max="11" width="37.3076923076923" customWidth="1"/>
    <col min="12" max="12" width="17.3846153846154" customWidth="1"/>
    <col min="13" max="13" width="15.7692307692308" customWidth="1"/>
  </cols>
  <sheetData>
    <row r="1" ht="17" spans="1:14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</row>
    <row r="2" spans="1:14">
      <c r="A2" t="s">
        <v>63</v>
      </c>
      <c r="L2">
        <v>1000</v>
      </c>
      <c r="M2">
        <f>1*10^-3</f>
        <v>0.001</v>
      </c>
      <c r="N2">
        <f>SUM(G3:G17)</f>
        <v>45606.7</v>
      </c>
    </row>
    <row r="3" spans="1:14">
      <c r="A3" s="1" t="s">
        <v>64</v>
      </c>
      <c r="B3">
        <f t="shared" ref="B3:B7" si="0">B4+B20</f>
        <v>339.672857142857</v>
      </c>
      <c r="C3">
        <f>Branch!D2</f>
        <v>75</v>
      </c>
      <c r="D3" s="2">
        <v>300</v>
      </c>
      <c r="E3" s="3">
        <v>1.3</v>
      </c>
      <c r="F3" s="4">
        <v>57.3</v>
      </c>
      <c r="G3">
        <f t="shared" ref="G3:G17" si="1">C3*F3</f>
        <v>4297.5</v>
      </c>
      <c r="J3">
        <f>L$2*E3*D3/1000/M$2</f>
        <v>390000</v>
      </c>
      <c r="K3">
        <f>1/(1.14+2*LOG10((D3/0.5)))^2</f>
        <v>0.0223012841491152</v>
      </c>
    </row>
    <row r="4" spans="1:14">
      <c r="A4" t="s">
        <v>65</v>
      </c>
      <c r="B4">
        <f t="shared" si="0"/>
        <v>315.372857142857</v>
      </c>
      <c r="C4">
        <f>Branch!D3</f>
        <v>93</v>
      </c>
      <c r="D4" s="5">
        <v>300</v>
      </c>
      <c r="E4" s="6">
        <v>1.22</v>
      </c>
      <c r="F4" s="7">
        <v>50.8</v>
      </c>
      <c r="G4">
        <f t="shared" si="1"/>
        <v>4724.4</v>
      </c>
      <c r="J4">
        <f>L$2*E4*D4/1000/M$2</f>
        <v>366000</v>
      </c>
      <c r="K4">
        <f>1/(1.14+2*LOG10((D4/0.5)))^2</f>
        <v>0.0223012841491152</v>
      </c>
    </row>
    <row r="5" spans="1:14">
      <c r="A5" t="s">
        <v>66</v>
      </c>
      <c r="B5">
        <f t="shared" si="0"/>
        <v>293.952857142857</v>
      </c>
      <c r="C5">
        <f>Branch!D4</f>
        <v>37</v>
      </c>
      <c r="D5" s="5">
        <v>300</v>
      </c>
      <c r="E5" s="6">
        <v>1.11</v>
      </c>
      <c r="F5" s="7">
        <v>41.7</v>
      </c>
      <c r="G5">
        <f t="shared" si="1"/>
        <v>1542.9</v>
      </c>
      <c r="J5">
        <f>L$2*E5*D5/1000/M$2</f>
        <v>333000</v>
      </c>
      <c r="K5">
        <f>1/(1.14+2*LOG10((D5/0.5)))^2</f>
        <v>0.0223012841491152</v>
      </c>
    </row>
    <row r="6" spans="1:14">
      <c r="A6" t="s">
        <v>67</v>
      </c>
      <c r="B6">
        <f t="shared" si="0"/>
        <v>250.11</v>
      </c>
      <c r="C6">
        <f>Branch!D5</f>
        <v>72</v>
      </c>
      <c r="D6" s="5">
        <v>250</v>
      </c>
      <c r="E6" s="6">
        <v>1.36</v>
      </c>
      <c r="F6" s="7">
        <v>77.9</v>
      </c>
      <c r="G6">
        <f t="shared" si="1"/>
        <v>5608.8</v>
      </c>
      <c r="J6">
        <f>L$2*E6*D6/1000/M$2</f>
        <v>340000</v>
      </c>
      <c r="K6">
        <f>1/(1.14+2*LOG10((D6/0.5)))^2</f>
        <v>0.0233947353976847</v>
      </c>
    </row>
    <row r="7" spans="1:14">
      <c r="A7" t="s">
        <v>68</v>
      </c>
      <c r="B7">
        <f t="shared" si="0"/>
        <v>239.55</v>
      </c>
      <c r="C7">
        <f>Branch!D6</f>
        <v>34</v>
      </c>
      <c r="D7" s="5">
        <v>250</v>
      </c>
      <c r="E7" s="6">
        <v>1.3</v>
      </c>
      <c r="F7" s="7">
        <v>71.8</v>
      </c>
      <c r="G7">
        <f t="shared" si="1"/>
        <v>2441.2</v>
      </c>
      <c r="J7">
        <f t="shared" ref="J7:J17" si="2">L$2*E7*D7/1000/M$2</f>
        <v>325000</v>
      </c>
      <c r="K7">
        <f t="shared" ref="K7:K17" si="3">1/(1.14+2*LOG10((D7/0.5)))^2</f>
        <v>0.0233947353976847</v>
      </c>
    </row>
    <row r="8" spans="1:14">
      <c r="A8" t="s">
        <v>69</v>
      </c>
      <c r="B8">
        <f t="shared" ref="B8:B16" si="4">B9+B25</f>
        <v>214.05</v>
      </c>
      <c r="C8">
        <f>Branch!D7</f>
        <v>50</v>
      </c>
      <c r="D8" s="5">
        <v>250</v>
      </c>
      <c r="E8" s="6">
        <v>1.14</v>
      </c>
      <c r="F8" s="7">
        <v>55</v>
      </c>
      <c r="G8">
        <f t="shared" si="1"/>
        <v>2750</v>
      </c>
      <c r="J8">
        <f t="shared" si="2"/>
        <v>285000</v>
      </c>
      <c r="K8">
        <f t="shared" si="3"/>
        <v>0.0233947353976847</v>
      </c>
    </row>
    <row r="9" spans="1:14">
      <c r="A9" t="s">
        <v>70</v>
      </c>
      <c r="B9">
        <f t="shared" si="4"/>
        <v>202.015714285714</v>
      </c>
      <c r="C9">
        <f>Branch!D8</f>
        <v>50</v>
      </c>
      <c r="D9" s="5">
        <v>250</v>
      </c>
      <c r="E9" s="6">
        <v>1.08</v>
      </c>
      <c r="F9" s="7">
        <v>49.9</v>
      </c>
      <c r="G9">
        <f t="shared" si="1"/>
        <v>2495</v>
      </c>
      <c r="J9">
        <f t="shared" si="2"/>
        <v>270000</v>
      </c>
      <c r="K9">
        <f t="shared" si="3"/>
        <v>0.0233947353976847</v>
      </c>
    </row>
    <row r="10" spans="1:14">
      <c r="A10" t="s">
        <v>71</v>
      </c>
      <c r="B10">
        <f t="shared" si="4"/>
        <v>190.23</v>
      </c>
      <c r="C10">
        <f>Branch!D9</f>
        <v>96</v>
      </c>
      <c r="D10" s="5">
        <v>250</v>
      </c>
      <c r="E10" s="6">
        <v>1.03</v>
      </c>
      <c r="F10" s="7">
        <v>45</v>
      </c>
      <c r="G10">
        <f t="shared" si="1"/>
        <v>4320</v>
      </c>
      <c r="J10">
        <f t="shared" si="2"/>
        <v>257500</v>
      </c>
      <c r="K10">
        <f t="shared" si="3"/>
        <v>0.0233947353976847</v>
      </c>
    </row>
    <row r="11" spans="1:14">
      <c r="A11" t="s">
        <v>72</v>
      </c>
      <c r="B11">
        <f t="shared" si="4"/>
        <v>175.812857142857</v>
      </c>
      <c r="C11">
        <f>Branch!D10</f>
        <v>83</v>
      </c>
      <c r="D11" s="5">
        <v>250</v>
      </c>
      <c r="E11" s="6">
        <v>0.95</v>
      </c>
      <c r="F11" s="7">
        <v>38.2</v>
      </c>
      <c r="G11">
        <f t="shared" si="1"/>
        <v>3170.6</v>
      </c>
      <c r="J11">
        <f t="shared" si="2"/>
        <v>237500</v>
      </c>
      <c r="K11">
        <f t="shared" si="3"/>
        <v>0.0233947353976847</v>
      </c>
    </row>
    <row r="12" spans="1:14">
      <c r="A12" s="8" t="s">
        <v>73</v>
      </c>
      <c r="B12">
        <f t="shared" si="4"/>
        <v>165.012857142857</v>
      </c>
      <c r="C12">
        <f>Branch!D11</f>
        <v>37</v>
      </c>
      <c r="D12" s="5">
        <v>250</v>
      </c>
      <c r="E12" s="6">
        <v>0.89</v>
      </c>
      <c r="F12" s="7">
        <v>34</v>
      </c>
      <c r="G12">
        <f t="shared" si="1"/>
        <v>1258</v>
      </c>
      <c r="J12">
        <f t="shared" si="2"/>
        <v>222500</v>
      </c>
      <c r="K12">
        <f t="shared" si="3"/>
        <v>0.0233947353976847</v>
      </c>
    </row>
    <row r="13" spans="1:14">
      <c r="A13" s="8" t="s">
        <v>74</v>
      </c>
      <c r="B13">
        <f t="shared" si="4"/>
        <v>133.962857142857</v>
      </c>
      <c r="C13">
        <f>Branch!D12</f>
        <v>76</v>
      </c>
      <c r="D13" s="5">
        <v>250</v>
      </c>
      <c r="E13" s="6">
        <v>0.73</v>
      </c>
      <c r="F13" s="7">
        <v>22.7</v>
      </c>
      <c r="G13">
        <f t="shared" si="1"/>
        <v>1725.2</v>
      </c>
      <c r="J13">
        <f t="shared" si="2"/>
        <v>182500</v>
      </c>
      <c r="K13">
        <f t="shared" si="3"/>
        <v>0.0233947353976847</v>
      </c>
    </row>
    <row r="14" spans="1:14">
      <c r="A14" s="8" t="s">
        <v>75</v>
      </c>
      <c r="B14">
        <f t="shared" si="4"/>
        <v>95.9057142857143</v>
      </c>
      <c r="C14">
        <f>Branch!D13</f>
        <v>81</v>
      </c>
      <c r="D14" s="5">
        <v>200</v>
      </c>
      <c r="E14" s="6">
        <v>0.82</v>
      </c>
      <c r="F14" s="7">
        <v>38.2</v>
      </c>
      <c r="G14">
        <f t="shared" si="1"/>
        <v>3094.2</v>
      </c>
      <c r="J14">
        <f t="shared" si="2"/>
        <v>164000</v>
      </c>
      <c r="K14">
        <f t="shared" si="3"/>
        <v>0.0248460425197335</v>
      </c>
    </row>
    <row r="15" spans="1:14">
      <c r="A15" s="8" t="s">
        <v>76</v>
      </c>
      <c r="B15">
        <f t="shared" si="4"/>
        <v>69.8314285714286</v>
      </c>
      <c r="C15">
        <f>Branch!D14</f>
        <v>53</v>
      </c>
      <c r="D15" s="5">
        <v>200</v>
      </c>
      <c r="E15" s="6">
        <v>0.6</v>
      </c>
      <c r="F15" s="7">
        <v>20.7</v>
      </c>
      <c r="G15">
        <f t="shared" si="1"/>
        <v>1097.1</v>
      </c>
      <c r="J15">
        <f t="shared" si="2"/>
        <v>120000</v>
      </c>
      <c r="K15">
        <f t="shared" si="3"/>
        <v>0.0248460425197335</v>
      </c>
    </row>
    <row r="16" spans="1:14">
      <c r="A16" s="8" t="s">
        <v>77</v>
      </c>
      <c r="B16">
        <f t="shared" si="4"/>
        <v>37.4314285714286</v>
      </c>
      <c r="C16">
        <f>Branch!D15</f>
        <v>77</v>
      </c>
      <c r="D16" s="9">
        <v>150</v>
      </c>
      <c r="E16" s="6">
        <v>0.61</v>
      </c>
      <c r="F16" s="7">
        <v>31.8</v>
      </c>
      <c r="G16">
        <f t="shared" si="1"/>
        <v>2448.6</v>
      </c>
      <c r="J16">
        <f t="shared" si="2"/>
        <v>91500</v>
      </c>
      <c r="K16">
        <f t="shared" si="3"/>
        <v>0.0269252990527845</v>
      </c>
    </row>
    <row r="17" spans="1:11">
      <c r="A17" s="8" t="s">
        <v>78</v>
      </c>
      <c r="B17">
        <f>Building!I16</f>
        <v>17.6314285714286</v>
      </c>
      <c r="C17">
        <f>Branch!D16</f>
        <v>81</v>
      </c>
      <c r="D17" s="5">
        <v>100</v>
      </c>
      <c r="E17" s="6">
        <v>0.63</v>
      </c>
      <c r="F17" s="7">
        <v>57.2</v>
      </c>
      <c r="G17">
        <f t="shared" si="1"/>
        <v>4633.2</v>
      </c>
      <c r="J17">
        <f t="shared" si="2"/>
        <v>63000</v>
      </c>
      <c r="K17">
        <f t="shared" si="3"/>
        <v>0.0303294509825929</v>
      </c>
    </row>
    <row r="18" spans="1:11">
      <c r="D18" s="5"/>
      <c r="E18" s="6"/>
      <c r="F18" s="7"/>
    </row>
    <row r="19" spans="1:11">
      <c r="A19" t="s">
        <v>79</v>
      </c>
      <c r="D19" s="5"/>
      <c r="E19" s="6"/>
      <c r="F19" s="7"/>
    </row>
    <row r="20" spans="1:11">
      <c r="A20" s="8" t="s">
        <v>80</v>
      </c>
      <c r="B20">
        <f>Building!I2</f>
        <v>24.3</v>
      </c>
      <c r="C20">
        <f>Branch!D17</f>
        <v>38</v>
      </c>
      <c r="D20" s="5">
        <v>65</v>
      </c>
      <c r="E20" s="6">
        <v>1.86</v>
      </c>
      <c r="F20" s="7">
        <v>818.9</v>
      </c>
      <c r="G20">
        <f t="shared" ref="G20:G33" si="5">C20*F20</f>
        <v>31118.2</v>
      </c>
      <c r="H20">
        <f>N$2-G3</f>
        <v>41309.2</v>
      </c>
      <c r="I20">
        <f>H20/C20</f>
        <v>1087.08421052632</v>
      </c>
      <c r="J20">
        <f>L$2*E20*D20/1000/M$2</f>
        <v>120900</v>
      </c>
      <c r="K20">
        <f t="shared" ref="K20:K33" si="6">1/(1.14+2*LOG10((D20/0.5)))^2</f>
        <v>0.0347051014322117</v>
      </c>
    </row>
    <row r="21" spans="1:11">
      <c r="A21" s="8" t="s">
        <v>81</v>
      </c>
      <c r="B21">
        <f>Building!I3</f>
        <v>21.42</v>
      </c>
      <c r="C21">
        <f>Branch!D18</f>
        <v>71</v>
      </c>
      <c r="D21" s="5">
        <v>65</v>
      </c>
      <c r="E21" s="6">
        <v>1.55</v>
      </c>
      <c r="F21" s="7">
        <v>568.7</v>
      </c>
      <c r="G21">
        <f t="shared" si="5"/>
        <v>40377.7</v>
      </c>
      <c r="H21">
        <f t="shared" ref="H21:H28" si="7">H20-G4</f>
        <v>36584.8</v>
      </c>
      <c r="I21">
        <f t="shared" ref="I21:I33" si="8">H21/C21</f>
        <v>515.278873239437</v>
      </c>
      <c r="J21">
        <f t="shared" ref="J21:J33" si="9">L$2*E21*D21/1000/M$2</f>
        <v>100750</v>
      </c>
      <c r="K21">
        <f t="shared" si="6"/>
        <v>0.0347051014322117</v>
      </c>
    </row>
    <row r="22" spans="1:11">
      <c r="A22" s="8" t="s">
        <v>82</v>
      </c>
      <c r="B22">
        <f>Building!I4</f>
        <v>43.8428571428571</v>
      </c>
      <c r="C22">
        <f>Branch!D19</f>
        <v>40</v>
      </c>
      <c r="D22" s="5">
        <v>100</v>
      </c>
      <c r="E22" s="6">
        <v>1.59</v>
      </c>
      <c r="F22" s="7">
        <v>366.2</v>
      </c>
      <c r="G22">
        <f t="shared" si="5"/>
        <v>14648</v>
      </c>
      <c r="H22">
        <f t="shared" si="7"/>
        <v>35041.9</v>
      </c>
      <c r="I22">
        <f t="shared" si="8"/>
        <v>876.0475</v>
      </c>
      <c r="J22">
        <f t="shared" si="9"/>
        <v>159000</v>
      </c>
      <c r="K22">
        <f t="shared" si="6"/>
        <v>0.0303294509825929</v>
      </c>
    </row>
    <row r="23" spans="1:11">
      <c r="A23" s="8" t="s">
        <v>83</v>
      </c>
      <c r="B23">
        <f>Building!I5</f>
        <v>10.56</v>
      </c>
      <c r="C23">
        <f>Branch!D20</f>
        <v>40</v>
      </c>
      <c r="D23" s="5">
        <v>50</v>
      </c>
      <c r="E23" s="6">
        <v>1.48</v>
      </c>
      <c r="F23" s="7">
        <v>791</v>
      </c>
      <c r="G23">
        <f t="shared" si="5"/>
        <v>31640</v>
      </c>
      <c r="H23">
        <f t="shared" si="7"/>
        <v>29433.1</v>
      </c>
      <c r="I23">
        <f t="shared" si="8"/>
        <v>735.8275</v>
      </c>
      <c r="J23">
        <f t="shared" si="9"/>
        <v>74000</v>
      </c>
      <c r="K23">
        <f t="shared" si="6"/>
        <v>0.0378506866114551</v>
      </c>
    </row>
    <row r="24" spans="1:11">
      <c r="A24" s="8" t="s">
        <v>84</v>
      </c>
      <c r="B24">
        <f>Building!I6</f>
        <v>25.5</v>
      </c>
      <c r="C24">
        <f>Branch!D21</f>
        <v>78</v>
      </c>
      <c r="D24" s="5">
        <v>80</v>
      </c>
      <c r="E24" s="6">
        <v>1.37</v>
      </c>
      <c r="F24" s="7">
        <v>355</v>
      </c>
      <c r="G24">
        <f t="shared" si="5"/>
        <v>27690</v>
      </c>
      <c r="H24">
        <f t="shared" si="7"/>
        <v>26991.9</v>
      </c>
      <c r="I24">
        <f t="shared" si="8"/>
        <v>346.05</v>
      </c>
      <c r="J24">
        <f t="shared" si="9"/>
        <v>109600</v>
      </c>
      <c r="K24">
        <f t="shared" si="6"/>
        <v>0.032485497883736</v>
      </c>
    </row>
    <row r="25" spans="1:11">
      <c r="A25" s="8" t="s">
        <v>85</v>
      </c>
      <c r="B25">
        <f>Building!I7</f>
        <v>12.0342857142857</v>
      </c>
      <c r="C25">
        <f>Branch!D22</f>
        <v>94</v>
      </c>
      <c r="D25" s="5">
        <v>65</v>
      </c>
      <c r="E25" s="6">
        <v>0.93</v>
      </c>
      <c r="F25" s="7">
        <v>204.7</v>
      </c>
      <c r="G25">
        <f t="shared" si="5"/>
        <v>19241.8</v>
      </c>
      <c r="H25">
        <f t="shared" si="7"/>
        <v>24241.9</v>
      </c>
      <c r="I25">
        <f t="shared" si="8"/>
        <v>257.892553191489</v>
      </c>
      <c r="J25">
        <f t="shared" si="9"/>
        <v>60450</v>
      </c>
      <c r="K25">
        <f t="shared" si="6"/>
        <v>0.0347051014322117</v>
      </c>
    </row>
    <row r="26" spans="1:11">
      <c r="A26" s="8" t="s">
        <v>86</v>
      </c>
      <c r="B26">
        <f>Building!I8</f>
        <v>11.7857142857143</v>
      </c>
      <c r="C26">
        <f>Branch!D23</f>
        <v>32</v>
      </c>
      <c r="D26" s="5">
        <v>65</v>
      </c>
      <c r="E26" s="6">
        <v>0.85</v>
      </c>
      <c r="F26" s="7">
        <v>172</v>
      </c>
      <c r="G26">
        <f t="shared" si="5"/>
        <v>5504</v>
      </c>
      <c r="H26">
        <f t="shared" si="7"/>
        <v>21746.9</v>
      </c>
      <c r="I26">
        <f t="shared" si="8"/>
        <v>679.590625</v>
      </c>
      <c r="J26">
        <f t="shared" si="9"/>
        <v>55250</v>
      </c>
      <c r="K26">
        <f t="shared" si="6"/>
        <v>0.0347051014322117</v>
      </c>
    </row>
    <row r="27" spans="1:11">
      <c r="A27" s="8" t="s">
        <v>87</v>
      </c>
      <c r="B27">
        <f>Building!I9</f>
        <v>14.4171428571429</v>
      </c>
      <c r="C27">
        <f>Branch!D24</f>
        <v>61</v>
      </c>
      <c r="D27" s="5">
        <v>65</v>
      </c>
      <c r="E27" s="6">
        <v>1.09</v>
      </c>
      <c r="F27" s="7">
        <v>278.6</v>
      </c>
      <c r="G27">
        <f t="shared" si="5"/>
        <v>16994.6</v>
      </c>
      <c r="H27">
        <f t="shared" si="7"/>
        <v>17426.9</v>
      </c>
      <c r="I27">
        <f t="shared" si="8"/>
        <v>285.686885245901</v>
      </c>
      <c r="J27">
        <f t="shared" si="9"/>
        <v>70850</v>
      </c>
      <c r="K27">
        <f t="shared" si="6"/>
        <v>0.0347051014322117</v>
      </c>
    </row>
    <row r="28" spans="1:11">
      <c r="A28" s="8" t="s">
        <v>88</v>
      </c>
      <c r="B28">
        <f>Building!I10</f>
        <v>10.8</v>
      </c>
      <c r="C28">
        <f>Branch!D25</f>
        <v>46</v>
      </c>
      <c r="D28" s="5">
        <v>65</v>
      </c>
      <c r="E28" s="6">
        <v>0.78</v>
      </c>
      <c r="F28" s="7">
        <v>142</v>
      </c>
      <c r="G28">
        <f t="shared" si="5"/>
        <v>6532</v>
      </c>
      <c r="H28">
        <f t="shared" si="7"/>
        <v>14256.3</v>
      </c>
      <c r="I28">
        <f t="shared" si="8"/>
        <v>309.919565217391</v>
      </c>
      <c r="J28">
        <f t="shared" si="9"/>
        <v>50700</v>
      </c>
      <c r="K28">
        <f t="shared" si="6"/>
        <v>0.0347051014322117</v>
      </c>
    </row>
    <row r="29" spans="1:11">
      <c r="A29" s="8" t="s">
        <v>89</v>
      </c>
      <c r="B29">
        <f>Building!I11</f>
        <v>31.05</v>
      </c>
      <c r="C29">
        <f>Branch!D26</f>
        <v>58</v>
      </c>
      <c r="D29" s="5">
        <v>100</v>
      </c>
      <c r="E29" s="6">
        <v>1.14</v>
      </c>
      <c r="F29" s="7">
        <v>190.4</v>
      </c>
      <c r="G29">
        <f t="shared" si="5"/>
        <v>11043.2</v>
      </c>
      <c r="H29">
        <f t="shared" ref="H29:H33" si="10">H28-G12</f>
        <v>12998.3</v>
      </c>
      <c r="I29">
        <f t="shared" si="8"/>
        <v>224.108620689655</v>
      </c>
      <c r="J29">
        <f t="shared" si="9"/>
        <v>114000</v>
      </c>
      <c r="K29">
        <f t="shared" si="6"/>
        <v>0.0303294509825929</v>
      </c>
    </row>
    <row r="30" spans="1:11">
      <c r="A30" s="8" t="s">
        <v>90</v>
      </c>
      <c r="B30">
        <f>Building!I12</f>
        <v>38.0571428571429</v>
      </c>
      <c r="C30">
        <f>Branch!D27</f>
        <v>33</v>
      </c>
      <c r="D30" s="5">
        <v>100</v>
      </c>
      <c r="E30" s="6">
        <v>1.4</v>
      </c>
      <c r="F30" s="7">
        <v>286</v>
      </c>
      <c r="G30">
        <f t="shared" si="5"/>
        <v>9438</v>
      </c>
      <c r="H30">
        <f t="shared" si="10"/>
        <v>11273.1</v>
      </c>
      <c r="I30">
        <f t="shared" si="8"/>
        <v>341.60909090909</v>
      </c>
      <c r="J30">
        <f t="shared" si="9"/>
        <v>140000</v>
      </c>
      <c r="K30">
        <f t="shared" si="6"/>
        <v>0.0303294509825929</v>
      </c>
    </row>
    <row r="31" spans="1:11">
      <c r="A31" s="8" t="s">
        <v>91</v>
      </c>
      <c r="B31">
        <f>Building!I13</f>
        <v>26.0742857142857</v>
      </c>
      <c r="C31">
        <f>Branch!D28</f>
        <v>45</v>
      </c>
      <c r="D31" s="5">
        <v>100</v>
      </c>
      <c r="E31" s="6">
        <v>0.96</v>
      </c>
      <c r="F31" s="7">
        <v>134</v>
      </c>
      <c r="G31">
        <f t="shared" si="5"/>
        <v>6030</v>
      </c>
      <c r="H31">
        <f t="shared" si="10"/>
        <v>8178.89999999999</v>
      </c>
      <c r="I31">
        <f t="shared" si="8"/>
        <v>181.753333333333</v>
      </c>
      <c r="J31">
        <f t="shared" si="9"/>
        <v>96000</v>
      </c>
      <c r="K31">
        <f t="shared" si="6"/>
        <v>0.0303294509825929</v>
      </c>
    </row>
    <row r="32" spans="1:11">
      <c r="A32" s="8" t="s">
        <v>92</v>
      </c>
      <c r="B32">
        <f>Building!I14</f>
        <v>32.4</v>
      </c>
      <c r="C32">
        <f>Branch!D29</f>
        <v>95</v>
      </c>
      <c r="D32" s="5">
        <v>125</v>
      </c>
      <c r="E32" s="6">
        <v>0.76</v>
      </c>
      <c r="F32" s="7">
        <v>62</v>
      </c>
      <c r="G32">
        <f t="shared" si="5"/>
        <v>5890</v>
      </c>
      <c r="H32">
        <f t="shared" si="10"/>
        <v>7081.79999999998</v>
      </c>
      <c r="I32">
        <f t="shared" si="8"/>
        <v>74.5452631578946</v>
      </c>
      <c r="J32">
        <f t="shared" si="9"/>
        <v>95000</v>
      </c>
      <c r="K32">
        <f t="shared" si="6"/>
        <v>0.0283811358286925</v>
      </c>
    </row>
    <row r="33" spans="1:11">
      <c r="A33" s="8" t="s">
        <v>93</v>
      </c>
      <c r="B33">
        <f>Building!I15</f>
        <v>19.8</v>
      </c>
      <c r="C33">
        <f>Branch!D30</f>
        <v>86</v>
      </c>
      <c r="D33" s="10">
        <v>100</v>
      </c>
      <c r="E33" s="11">
        <v>0.7</v>
      </c>
      <c r="F33" s="12">
        <v>71.5</v>
      </c>
      <c r="G33">
        <f t="shared" si="5"/>
        <v>6149</v>
      </c>
      <c r="H33">
        <f t="shared" si="10"/>
        <v>4633.19999999998</v>
      </c>
      <c r="I33">
        <f t="shared" si="8"/>
        <v>53.874418604651</v>
      </c>
      <c r="J33">
        <f t="shared" si="9"/>
        <v>70000</v>
      </c>
      <c r="K33">
        <f t="shared" si="6"/>
        <v>0.0303294509825929</v>
      </c>
    </row>
    <row r="35" spans="1:11">
      <c r="A35" s="13" t="s">
        <v>94</v>
      </c>
      <c r="B35">
        <f>B20</f>
        <v>24.3</v>
      </c>
      <c r="C35">
        <f t="shared" ref="C35:C49" si="11">H35/F35</f>
        <v>24.4230064720967</v>
      </c>
      <c r="D35">
        <f>D20</f>
        <v>65</v>
      </c>
      <c r="E35">
        <f t="shared" ref="E35:F35" si="12">E20</f>
        <v>1.86</v>
      </c>
      <c r="F35">
        <f t="shared" si="12"/>
        <v>818.9</v>
      </c>
      <c r="G35">
        <f t="shared" ref="G35:G49" si="13">C35*F35</f>
        <v>20000</v>
      </c>
      <c r="H35">
        <v>20000</v>
      </c>
      <c r="I35">
        <v>100</v>
      </c>
      <c r="J35">
        <f t="shared" ref="J35:J49" si="14">L$2*E35*D35/1000/M$2</f>
        <v>120900</v>
      </c>
      <c r="K35">
        <f t="shared" ref="K35:K49" si="15">1/(1.14+2*LOG10((D35/0.5)))^2</f>
        <v>0.0347051014322117</v>
      </c>
    </row>
    <row r="36" spans="1:11">
      <c r="A36" s="13" t="s">
        <v>95</v>
      </c>
      <c r="B36">
        <f t="shared" ref="B36:B48" si="16">B21</f>
        <v>21.42</v>
      </c>
      <c r="C36">
        <f t="shared" si="11"/>
        <v>35.1679268507121</v>
      </c>
      <c r="D36">
        <f t="shared" ref="D36:F36" si="17">D21</f>
        <v>65</v>
      </c>
      <c r="E36">
        <f t="shared" si="17"/>
        <v>1.55</v>
      </c>
      <c r="F36">
        <f t="shared" si="17"/>
        <v>568.7</v>
      </c>
      <c r="G36">
        <f t="shared" si="13"/>
        <v>20000</v>
      </c>
      <c r="H36">
        <v>20000</v>
      </c>
      <c r="I36">
        <v>100</v>
      </c>
      <c r="J36">
        <f t="shared" si="14"/>
        <v>100750</v>
      </c>
      <c r="K36">
        <f t="shared" si="15"/>
        <v>0.0347051014322117</v>
      </c>
    </row>
    <row r="37" spans="1:11">
      <c r="A37" s="13" t="s">
        <v>96</v>
      </c>
      <c r="B37">
        <f t="shared" si="16"/>
        <v>43.8428571428571</v>
      </c>
      <c r="C37">
        <f t="shared" si="11"/>
        <v>54.6149645002731</v>
      </c>
      <c r="D37">
        <f t="shared" ref="D37:F37" si="18">D22</f>
        <v>100</v>
      </c>
      <c r="E37">
        <f t="shared" si="18"/>
        <v>1.59</v>
      </c>
      <c r="F37">
        <f t="shared" si="18"/>
        <v>366.2</v>
      </c>
      <c r="G37">
        <f t="shared" si="13"/>
        <v>20000</v>
      </c>
      <c r="H37">
        <v>20000</v>
      </c>
      <c r="I37">
        <v>100</v>
      </c>
      <c r="J37">
        <f t="shared" si="14"/>
        <v>159000</v>
      </c>
      <c r="K37">
        <f t="shared" si="15"/>
        <v>0.0303294509825929</v>
      </c>
    </row>
    <row r="38" spans="1:11">
      <c r="A38" s="13" t="s">
        <v>97</v>
      </c>
      <c r="B38">
        <f t="shared" si="16"/>
        <v>10.56</v>
      </c>
      <c r="C38">
        <f t="shared" si="11"/>
        <v>25.2844500632111</v>
      </c>
      <c r="D38">
        <f t="shared" ref="D38:F38" si="19">D23</f>
        <v>50</v>
      </c>
      <c r="E38">
        <f t="shared" si="19"/>
        <v>1.48</v>
      </c>
      <c r="F38">
        <f t="shared" si="19"/>
        <v>791</v>
      </c>
      <c r="G38">
        <f t="shared" si="13"/>
        <v>20000</v>
      </c>
      <c r="H38">
        <v>20000</v>
      </c>
      <c r="I38">
        <v>100</v>
      </c>
      <c r="J38">
        <f t="shared" si="14"/>
        <v>74000</v>
      </c>
      <c r="K38">
        <f t="shared" si="15"/>
        <v>0.0378506866114551</v>
      </c>
    </row>
    <row r="39" spans="1:11">
      <c r="A39" s="13" t="s">
        <v>98</v>
      </c>
      <c r="B39">
        <f t="shared" si="16"/>
        <v>25.5</v>
      </c>
      <c r="C39">
        <f t="shared" si="11"/>
        <v>56.3380281690141</v>
      </c>
      <c r="D39">
        <f t="shared" ref="D39:F39" si="20">D24</f>
        <v>80</v>
      </c>
      <c r="E39">
        <f t="shared" si="20"/>
        <v>1.37</v>
      </c>
      <c r="F39">
        <f t="shared" si="20"/>
        <v>355</v>
      </c>
      <c r="G39">
        <f t="shared" si="13"/>
        <v>20000</v>
      </c>
      <c r="H39">
        <v>20000</v>
      </c>
      <c r="I39">
        <v>100</v>
      </c>
      <c r="J39">
        <f t="shared" si="14"/>
        <v>109600</v>
      </c>
      <c r="K39">
        <f t="shared" si="15"/>
        <v>0.032485497883736</v>
      </c>
    </row>
    <row r="40" spans="1:11">
      <c r="A40" s="13" t="s">
        <v>99</v>
      </c>
      <c r="B40">
        <f t="shared" si="16"/>
        <v>12.0342857142857</v>
      </c>
      <c r="C40">
        <f t="shared" si="11"/>
        <v>97.7039570102589</v>
      </c>
      <c r="D40">
        <f t="shared" ref="D40:F40" si="21">D25</f>
        <v>65</v>
      </c>
      <c r="E40">
        <f t="shared" si="21"/>
        <v>0.93</v>
      </c>
      <c r="F40">
        <f t="shared" si="21"/>
        <v>204.7</v>
      </c>
      <c r="G40">
        <f t="shared" si="13"/>
        <v>20000</v>
      </c>
      <c r="H40">
        <v>20000</v>
      </c>
      <c r="J40">
        <f t="shared" si="14"/>
        <v>60450</v>
      </c>
      <c r="K40">
        <f t="shared" si="15"/>
        <v>0.0347051014322117</v>
      </c>
    </row>
    <row r="41" spans="1:11">
      <c r="A41" s="13" t="s">
        <v>100</v>
      </c>
      <c r="B41">
        <f t="shared" si="16"/>
        <v>11.7857142857143</v>
      </c>
      <c r="C41">
        <f t="shared" si="11"/>
        <v>116.279069767442</v>
      </c>
      <c r="D41">
        <f t="shared" ref="D41:F41" si="22">D26</f>
        <v>65</v>
      </c>
      <c r="E41">
        <f t="shared" si="22"/>
        <v>0.85</v>
      </c>
      <c r="F41">
        <f t="shared" si="22"/>
        <v>172</v>
      </c>
      <c r="G41">
        <f t="shared" si="13"/>
        <v>20000</v>
      </c>
      <c r="H41">
        <v>20000</v>
      </c>
      <c r="J41">
        <f t="shared" si="14"/>
        <v>55250</v>
      </c>
      <c r="K41">
        <f t="shared" si="15"/>
        <v>0.0347051014322117</v>
      </c>
    </row>
    <row r="42" spans="1:11">
      <c r="A42" s="13" t="s">
        <v>101</v>
      </c>
      <c r="B42">
        <f t="shared" si="16"/>
        <v>14.4171428571429</v>
      </c>
      <c r="C42">
        <f t="shared" si="11"/>
        <v>71.7875089734386</v>
      </c>
      <c r="D42">
        <f t="shared" ref="D42:F42" si="23">D27</f>
        <v>65</v>
      </c>
      <c r="E42">
        <f t="shared" si="23"/>
        <v>1.09</v>
      </c>
      <c r="F42">
        <f t="shared" si="23"/>
        <v>278.6</v>
      </c>
      <c r="G42">
        <f t="shared" si="13"/>
        <v>20000</v>
      </c>
      <c r="H42">
        <v>20000</v>
      </c>
      <c r="J42">
        <f t="shared" si="14"/>
        <v>70850</v>
      </c>
      <c r="K42">
        <f t="shared" si="15"/>
        <v>0.0347051014322117</v>
      </c>
    </row>
    <row r="43" spans="1:11">
      <c r="A43" s="13" t="s">
        <v>102</v>
      </c>
      <c r="B43">
        <f t="shared" si="16"/>
        <v>10.8</v>
      </c>
      <c r="C43">
        <f t="shared" si="11"/>
        <v>140.845070422535</v>
      </c>
      <c r="D43">
        <f t="shared" ref="D43:F43" si="24">D28</f>
        <v>65</v>
      </c>
      <c r="E43">
        <f t="shared" si="24"/>
        <v>0.78</v>
      </c>
      <c r="F43">
        <f t="shared" si="24"/>
        <v>142</v>
      </c>
      <c r="G43">
        <f t="shared" si="13"/>
        <v>20000</v>
      </c>
      <c r="H43">
        <v>20000</v>
      </c>
      <c r="J43">
        <f t="shared" si="14"/>
        <v>50700</v>
      </c>
      <c r="K43">
        <f t="shared" si="15"/>
        <v>0.0347051014322117</v>
      </c>
    </row>
    <row r="44" spans="1:11">
      <c r="A44" s="13" t="s">
        <v>103</v>
      </c>
      <c r="B44">
        <f t="shared" si="16"/>
        <v>31.05</v>
      </c>
      <c r="C44">
        <f t="shared" si="11"/>
        <v>105.042016806723</v>
      </c>
      <c r="D44">
        <f t="shared" ref="D44:F44" si="25">D29</f>
        <v>100</v>
      </c>
      <c r="E44">
        <f t="shared" si="25"/>
        <v>1.14</v>
      </c>
      <c r="F44">
        <f t="shared" si="25"/>
        <v>190.4</v>
      </c>
      <c r="G44">
        <f t="shared" si="13"/>
        <v>20000</v>
      </c>
      <c r="H44">
        <v>20000</v>
      </c>
      <c r="J44">
        <f t="shared" si="14"/>
        <v>114000</v>
      </c>
      <c r="K44">
        <f t="shared" si="15"/>
        <v>0.0303294509825929</v>
      </c>
    </row>
    <row r="45" spans="1:11">
      <c r="A45" s="13" t="s">
        <v>104</v>
      </c>
      <c r="B45">
        <f t="shared" si="16"/>
        <v>38.0571428571429</v>
      </c>
      <c r="C45">
        <f t="shared" si="11"/>
        <v>69.9300699300699</v>
      </c>
      <c r="D45">
        <f t="shared" ref="D45:F45" si="26">D30</f>
        <v>100</v>
      </c>
      <c r="E45">
        <f t="shared" si="26"/>
        <v>1.4</v>
      </c>
      <c r="F45">
        <f t="shared" si="26"/>
        <v>286</v>
      </c>
      <c r="G45">
        <f t="shared" si="13"/>
        <v>20000</v>
      </c>
      <c r="H45">
        <v>20000</v>
      </c>
      <c r="J45">
        <f t="shared" si="14"/>
        <v>140000</v>
      </c>
      <c r="K45">
        <f t="shared" si="15"/>
        <v>0.0303294509825929</v>
      </c>
    </row>
    <row r="46" spans="1:11">
      <c r="A46" s="13" t="s">
        <v>105</v>
      </c>
      <c r="B46">
        <f t="shared" si="16"/>
        <v>26.0742857142857</v>
      </c>
      <c r="C46">
        <f t="shared" si="11"/>
        <v>149.253731343284</v>
      </c>
      <c r="D46">
        <f t="shared" ref="D46:F46" si="27">D31</f>
        <v>100</v>
      </c>
      <c r="E46">
        <f t="shared" si="27"/>
        <v>0.96</v>
      </c>
      <c r="F46">
        <f t="shared" si="27"/>
        <v>134</v>
      </c>
      <c r="G46">
        <f t="shared" si="13"/>
        <v>20000</v>
      </c>
      <c r="H46">
        <v>20000</v>
      </c>
      <c r="J46">
        <f t="shared" si="14"/>
        <v>96000</v>
      </c>
      <c r="K46">
        <f t="shared" si="15"/>
        <v>0.0303294509825929</v>
      </c>
    </row>
    <row r="47" spans="1:11">
      <c r="A47" s="13" t="s">
        <v>106</v>
      </c>
      <c r="B47">
        <f t="shared" si="16"/>
        <v>32.4</v>
      </c>
      <c r="C47">
        <f t="shared" si="11"/>
        <v>322.58064516129</v>
      </c>
      <c r="D47">
        <f t="shared" ref="D47:F47" si="28">D32</f>
        <v>125</v>
      </c>
      <c r="E47">
        <f t="shared" si="28"/>
        <v>0.76</v>
      </c>
      <c r="F47">
        <f t="shared" si="28"/>
        <v>62</v>
      </c>
      <c r="G47">
        <f t="shared" si="13"/>
        <v>20000</v>
      </c>
      <c r="H47">
        <v>20000</v>
      </c>
      <c r="J47">
        <f t="shared" si="14"/>
        <v>95000</v>
      </c>
      <c r="K47">
        <f t="shared" si="15"/>
        <v>0.0283811358286925</v>
      </c>
    </row>
    <row r="48" spans="1:11">
      <c r="A48" s="13" t="s">
        <v>107</v>
      </c>
      <c r="B48">
        <f t="shared" si="16"/>
        <v>19.8</v>
      </c>
      <c r="C48">
        <f t="shared" si="11"/>
        <v>279.72027972028</v>
      </c>
      <c r="D48">
        <f t="shared" ref="D48:F48" si="29">D33</f>
        <v>100</v>
      </c>
      <c r="E48">
        <f t="shared" si="29"/>
        <v>0.7</v>
      </c>
      <c r="F48">
        <f t="shared" si="29"/>
        <v>71.5</v>
      </c>
      <c r="G48">
        <f t="shared" si="13"/>
        <v>20000</v>
      </c>
      <c r="H48">
        <v>20000</v>
      </c>
      <c r="J48">
        <f t="shared" si="14"/>
        <v>70000</v>
      </c>
      <c r="K48">
        <f t="shared" si="15"/>
        <v>0.0303294509825929</v>
      </c>
    </row>
    <row r="49" spans="1:11">
      <c r="A49" s="13" t="s">
        <v>108</v>
      </c>
      <c r="B49">
        <f>B17</f>
        <v>17.6314285714286</v>
      </c>
      <c r="C49">
        <f t="shared" si="11"/>
        <v>349.65034965035</v>
      </c>
      <c r="D49">
        <f>D17</f>
        <v>100</v>
      </c>
      <c r="E49">
        <f t="shared" ref="E49:F49" si="30">E17</f>
        <v>0.63</v>
      </c>
      <c r="F49">
        <f t="shared" si="30"/>
        <v>57.2</v>
      </c>
      <c r="G49">
        <f t="shared" si="13"/>
        <v>20000</v>
      </c>
      <c r="H49">
        <v>20000</v>
      </c>
      <c r="J49">
        <f t="shared" si="14"/>
        <v>63000</v>
      </c>
      <c r="K49">
        <f t="shared" si="15"/>
        <v>0.0303294509825929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</vt:lpstr>
      <vt:lpstr>Branch</vt:lpstr>
      <vt:lpstr>Device</vt:lpstr>
      <vt:lpstr>Building</vt:lpstr>
      <vt:lpstr>管径设计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cymm</dc:creator>
  <cp:lastModifiedBy>陈凯远</cp:lastModifiedBy>
  <dcterms:created xsi:type="dcterms:W3CDTF">2026-01-08T17:30:00Z</dcterms:created>
  <dcterms:modified xsi:type="dcterms:W3CDTF">2026-04-16T17:54:41Z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A78C026E5FAFF51845145B6949399A28_41</vt:lpwstr>
  </property>
  <property fmtid="{D5CDD505-2E9C-101B-9397-08002B2CF9AE}" pid="3" name="KSOProductBuildVer">
    <vt:lpwstr>2052-12.1.23540.23540</vt:lpwstr>
  </property>
</Properties>
</file>