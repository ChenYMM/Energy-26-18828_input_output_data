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4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<sst xmlns="http://schemas.openxmlformats.org/spreadsheetml/2006/main" count="227" uniqueCount="89">
  <si>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</si>
  <si>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</si>
  <si>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</si>
  <si>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</si>
  <si>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</si>
  <si>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</si>
  <si>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</si>
  <si>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</si>
  <si>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</si>
  <si>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</si>
  <si>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</si>
  <si>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</si>
  <si>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</si>
  <si>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</si>
  <si>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</si>
  <si>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</si>
  <si>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</si>
  <si>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</si>
  <si>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</si>
  <si>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</si>
  <si>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</si>
  <si>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</si>
  <si>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</si>
  <si>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</si>
  <si>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</si>
  <si>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</si>
  <si>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</si>
  <si>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</si>
  <si>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</si>
  <si>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</si>
  <si>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</si>
  <si>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</si>
  <si>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</si>
  <si>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</si>
  <si>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</si>
  <si>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</si>
  <si>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</si>
  <si>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</si>
  <si>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</si>
  <si>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</si>
  <si>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</si>
  <si>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</si>
  <si>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</si>
  <si>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</si>
  <si>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</si>
  <si>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</si>
  <si>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</si>
  <si>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</si>
  <si>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</si>
  <si>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</si>
  <si>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</si>
  <si>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</si>
  <si>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</si>
  <si>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</si>
  <si>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</si>
  <si>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</si>
  <si>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</si>
  <si>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</si>
  <si>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</si>
  <si>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</si>
  <si>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</si>
  <si>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</si>
  <si>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</si>
  <si>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</si>
  <si>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</si>
  <si>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</si>
  <si>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</si>
  <si>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</si>
  <si>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10,20</t>
  </si>
  <si>
    <t>支路</t>
  </si>
  <si>
    <t>2,11</t>
  </si>
  <si>
    <t>3,12</t>
  </si>
  <si>
    <t>4,13</t>
  </si>
  <si>
    <t>5,14</t>
  </si>
  <si>
    <t>6,15</t>
  </si>
  <si>
    <t>7,16</t>
  </si>
  <si>
    <t>8,17</t>
  </si>
  <si>
    <t>9,18</t>
  </si>
  <si>
    <t>10,19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</si>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</sst>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workbookViewId="0">
      <selection activeCell="M47" sqref="M47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27.8269230769231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6">
        <v>1</v>
      </c>
      <c r="B2">
        <v>1</v>
      </c>
      <c r="C2">
        <v>2</v>
      </c>
      <c r="D2" s="2">
        <v>89</v>
      </c>
      <c r="E2">
        <f>管径设计!D3</f>
        <v>250</v>
      </c>
      <c r="F2">
        <f>1/(1.14+2*LOG10((E2/0.5)))^2</f>
        <v>0.0233947353976847</v>
      </c>
      <c r="G2">
        <f>3.14*E2/1000/(0.03/0.023+0.01/0.5+1/1500+1/100)</f>
        <v>0.588008597854879</v>
      </c>
      <c r="J2" t="s">
        <v>8</v>
      </c>
      <c r="K2">
        <f ca="1">RANDBETWEEN(30,100)</f>
        <v>49</v>
      </c>
    </row>
    <row r="3" spans="1:11">
      <c r="A3" s="6">
        <v>2</v>
      </c>
      <c r="B3">
        <v>2</v>
      </c>
      <c r="C3">
        <v>3</v>
      </c>
      <c r="D3" s="2">
        <v>52</v>
      </c>
      <c r="E3">
        <f>管径设计!D4</f>
        <v>250</v>
      </c>
      <c r="F3">
        <f t="shared" ref="F3:F39" si="0">1/(1.14+2*LOG10((E3/0.5)))^2</f>
        <v>0.0233947353976847</v>
      </c>
      <c r="G3">
        <f t="shared" ref="G3:G39" si="1">3.14*E3/1000/(0.03/0.023+0.01/0.5+1/1500+1/100)</f>
        <v>0.588008597854879</v>
      </c>
      <c r="J3" t="s">
        <v>8</v>
      </c>
      <c r="K3">
        <f ca="1" t="shared" ref="K3:K12" si="2">RANDBETWEEN(30,100)</f>
        <v>44</v>
      </c>
    </row>
    <row r="4" spans="1:11">
      <c r="A4" s="6">
        <v>3</v>
      </c>
      <c r="B4">
        <v>2</v>
      </c>
      <c r="C4">
        <v>11</v>
      </c>
      <c r="D4" s="2">
        <v>55</v>
      </c>
      <c r="E4">
        <f>管径设计!D15</f>
        <v>50</v>
      </c>
      <c r="F4">
        <f t="shared" si="0"/>
        <v>0.0378506866114551</v>
      </c>
      <c r="G4">
        <f t="shared" si="1"/>
        <v>0.117601719570976</v>
      </c>
      <c r="H4">
        <v>1</v>
      </c>
      <c r="J4" t="s">
        <v>8</v>
      </c>
      <c r="K4">
        <f ca="1" t="shared" si="2"/>
        <v>85</v>
      </c>
    </row>
    <row r="5" spans="1:11">
      <c r="A5" s="6">
        <v>4</v>
      </c>
      <c r="B5">
        <v>3</v>
      </c>
      <c r="C5">
        <v>4</v>
      </c>
      <c r="D5" s="2">
        <v>77</v>
      </c>
      <c r="E5">
        <f>管径设计!D5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87</v>
      </c>
    </row>
    <row r="6" spans="1:11">
      <c r="A6" s="6">
        <v>5</v>
      </c>
      <c r="B6">
        <v>3</v>
      </c>
      <c r="C6">
        <v>12</v>
      </c>
      <c r="D6" s="2">
        <v>83</v>
      </c>
      <c r="E6">
        <f>管径设计!D16</f>
        <v>80</v>
      </c>
      <c r="F6">
        <f t="shared" si="0"/>
        <v>0.032485497883736</v>
      </c>
      <c r="G6">
        <f t="shared" si="1"/>
        <v>0.188162751313561</v>
      </c>
      <c r="H6">
        <v>2</v>
      </c>
      <c r="J6" t="s">
        <v>8</v>
      </c>
      <c r="K6">
        <f ca="1" t="shared" si="2"/>
        <v>69</v>
      </c>
    </row>
    <row r="7" spans="1:11">
      <c r="A7" s="6">
        <v>6</v>
      </c>
      <c r="B7">
        <v>4</v>
      </c>
      <c r="C7">
        <v>5</v>
      </c>
      <c r="D7" s="2">
        <v>40</v>
      </c>
      <c r="E7">
        <f>管径设计!D6</f>
        <v>200</v>
      </c>
      <c r="F7">
        <f t="shared" si="0"/>
        <v>0.0248460425197335</v>
      </c>
      <c r="G7">
        <f t="shared" si="1"/>
        <v>0.470406878283903</v>
      </c>
      <c r="J7" t="s">
        <v>8</v>
      </c>
      <c r="K7">
        <f ca="1" t="shared" si="2"/>
        <v>99</v>
      </c>
    </row>
    <row r="8" spans="1:11">
      <c r="A8" s="6">
        <v>7</v>
      </c>
      <c r="B8">
        <v>4</v>
      </c>
      <c r="C8">
        <v>13</v>
      </c>
      <c r="D8" s="2">
        <v>67</v>
      </c>
      <c r="E8">
        <f>管径设计!D17</f>
        <v>125</v>
      </c>
      <c r="F8">
        <f t="shared" si="0"/>
        <v>0.0283811358286925</v>
      </c>
      <c r="G8">
        <f t="shared" si="1"/>
        <v>0.294004298927439</v>
      </c>
      <c r="H8">
        <v>3</v>
      </c>
      <c r="J8" t="s">
        <v>8</v>
      </c>
      <c r="K8">
        <f ca="1" t="shared" si="2"/>
        <v>60</v>
      </c>
    </row>
    <row r="9" spans="1:11">
      <c r="A9" s="6">
        <v>8</v>
      </c>
      <c r="B9">
        <v>5</v>
      </c>
      <c r="C9">
        <v>6</v>
      </c>
      <c r="D9" s="2">
        <v>73</v>
      </c>
      <c r="E9">
        <f>管径设计!D7</f>
        <v>200</v>
      </c>
      <c r="F9">
        <f t="shared" si="0"/>
        <v>0.0248460425197335</v>
      </c>
      <c r="G9">
        <f t="shared" si="1"/>
        <v>0.470406878283903</v>
      </c>
      <c r="J9" t="s">
        <v>8</v>
      </c>
      <c r="K9">
        <f ca="1" t="shared" si="2"/>
        <v>90</v>
      </c>
    </row>
    <row r="10" spans="1:11">
      <c r="A10" s="6">
        <v>9</v>
      </c>
      <c r="B10">
        <v>5</v>
      </c>
      <c r="C10">
        <v>14</v>
      </c>
      <c r="D10" s="2">
        <v>41</v>
      </c>
      <c r="E10">
        <f>管径设计!D18</f>
        <v>80</v>
      </c>
      <c r="F10">
        <f t="shared" si="0"/>
        <v>0.032485497883736</v>
      </c>
      <c r="G10">
        <f t="shared" si="1"/>
        <v>0.188162751313561</v>
      </c>
      <c r="H10">
        <v>4</v>
      </c>
      <c r="J10" t="s">
        <v>8</v>
      </c>
      <c r="K10">
        <f ca="1" t="shared" si="2"/>
        <v>88</v>
      </c>
    </row>
    <row r="11" spans="1:11">
      <c r="A11" s="6">
        <v>10</v>
      </c>
      <c r="B11">
        <v>6</v>
      </c>
      <c r="C11">
        <v>7</v>
      </c>
      <c r="D11" s="2">
        <v>95</v>
      </c>
      <c r="E11">
        <f>管径设计!D8</f>
        <v>200</v>
      </c>
      <c r="F11">
        <f t="shared" si="0"/>
        <v>0.0248460425197335</v>
      </c>
      <c r="G11">
        <f t="shared" si="1"/>
        <v>0.470406878283903</v>
      </c>
      <c r="J11" t="s">
        <v>8</v>
      </c>
      <c r="K11">
        <f ca="1" t="shared" si="2"/>
        <v>41</v>
      </c>
    </row>
    <row r="12" spans="1:11">
      <c r="A12" s="6">
        <v>11</v>
      </c>
      <c r="B12">
        <v>6</v>
      </c>
      <c r="C12">
        <v>15</v>
      </c>
      <c r="D12" s="2">
        <v>91</v>
      </c>
      <c r="E12">
        <f>管径设计!D19</f>
        <v>80</v>
      </c>
      <c r="F12">
        <f t="shared" si="0"/>
        <v>0.032485497883736</v>
      </c>
      <c r="G12">
        <f t="shared" si="1"/>
        <v>0.188162751313561</v>
      </c>
      <c r="H12">
        <v>5</v>
      </c>
      <c r="J12" t="s">
        <v>8</v>
      </c>
      <c r="K12">
        <f ca="1" t="shared" si="2"/>
        <v>76</v>
      </c>
    </row>
    <row r="13" spans="1:11">
      <c r="A13" s="6">
        <v>12</v>
      </c>
      <c r="B13">
        <v>7</v>
      </c>
      <c r="C13">
        <v>8</v>
      </c>
      <c r="D13" s="2">
        <v>66</v>
      </c>
      <c r="E13">
        <f>管径设计!D9</f>
        <v>150</v>
      </c>
      <c r="F13">
        <f t="shared" si="0"/>
        <v>0.0269252990527845</v>
      </c>
      <c r="G13">
        <f t="shared" si="1"/>
        <v>0.352805158712927</v>
      </c>
      <c r="J13" t="s">
        <v>8</v>
      </c>
      <c r="K13">
        <f ca="1" t="shared" ref="K13:K20" si="3">RANDBETWEEN(30,100)</f>
        <v>78</v>
      </c>
    </row>
    <row r="14" spans="1:11">
      <c r="A14" s="6">
        <v>13</v>
      </c>
      <c r="B14">
        <v>7</v>
      </c>
      <c r="C14">
        <v>16</v>
      </c>
      <c r="D14" s="2">
        <v>97</v>
      </c>
      <c r="E14">
        <f>管径设计!D20</f>
        <v>100</v>
      </c>
      <c r="F14">
        <f t="shared" si="0"/>
        <v>0.0303294509825929</v>
      </c>
      <c r="G14">
        <f t="shared" si="1"/>
        <v>0.235203439141951</v>
      </c>
      <c r="H14">
        <v>6</v>
      </c>
      <c r="J14" t="s">
        <v>8</v>
      </c>
      <c r="K14">
        <f ca="1" t="shared" si="3"/>
        <v>43</v>
      </c>
    </row>
    <row r="15" spans="1:11">
      <c r="A15" s="6">
        <v>14</v>
      </c>
      <c r="B15">
        <v>8</v>
      </c>
      <c r="C15">
        <v>9</v>
      </c>
      <c r="D15" s="2">
        <v>30</v>
      </c>
      <c r="E15">
        <f>管径设计!D10</f>
        <v>150</v>
      </c>
      <c r="F15">
        <f t="shared" si="0"/>
        <v>0.0269252990527845</v>
      </c>
      <c r="G15">
        <f t="shared" si="1"/>
        <v>0.352805158712927</v>
      </c>
      <c r="J15" t="s">
        <v>8</v>
      </c>
      <c r="K15">
        <f ca="1" t="shared" si="3"/>
        <v>68</v>
      </c>
    </row>
    <row r="16" spans="1:11">
      <c r="A16" s="6">
        <v>15</v>
      </c>
      <c r="B16">
        <v>8</v>
      </c>
      <c r="C16">
        <v>17</v>
      </c>
      <c r="D16" s="2">
        <v>85</v>
      </c>
      <c r="E16">
        <f>管径设计!D21</f>
        <v>100</v>
      </c>
      <c r="F16">
        <f t="shared" si="0"/>
        <v>0.0303294509825929</v>
      </c>
      <c r="G16">
        <f t="shared" si="1"/>
        <v>0.235203439141951</v>
      </c>
      <c r="H16">
        <v>7</v>
      </c>
      <c r="J16" t="s">
        <v>8</v>
      </c>
      <c r="K16">
        <f ca="1" t="shared" si="3"/>
        <v>44</v>
      </c>
    </row>
    <row r="17" spans="1:11">
      <c r="A17" s="6">
        <v>16</v>
      </c>
      <c r="B17">
        <v>9</v>
      </c>
      <c r="C17">
        <v>10</v>
      </c>
      <c r="D17" s="2">
        <v>64</v>
      </c>
      <c r="E17">
        <f>管径设计!D11</f>
        <v>125</v>
      </c>
      <c r="F17">
        <f t="shared" si="0"/>
        <v>0.0283811358286925</v>
      </c>
      <c r="G17">
        <f t="shared" si="1"/>
        <v>0.294004298927439</v>
      </c>
      <c r="J17" t="s">
        <v>8</v>
      </c>
      <c r="K17">
        <f ca="1" t="shared" si="3"/>
        <v>41</v>
      </c>
    </row>
    <row r="18" spans="1:11">
      <c r="A18" s="6">
        <v>17</v>
      </c>
      <c r="B18">
        <v>9</v>
      </c>
      <c r="C18">
        <v>18</v>
      </c>
      <c r="D18" s="2">
        <v>98</v>
      </c>
      <c r="E18">
        <f>管径设计!D22</f>
        <v>80</v>
      </c>
      <c r="F18">
        <f t="shared" si="0"/>
        <v>0.032485497883736</v>
      </c>
      <c r="G18">
        <f t="shared" si="1"/>
        <v>0.188162751313561</v>
      </c>
      <c r="H18">
        <v>8</v>
      </c>
      <c r="J18" t="s">
        <v>8</v>
      </c>
      <c r="K18">
        <f ca="1" t="shared" si="3"/>
        <v>73</v>
      </c>
    </row>
    <row r="19" spans="1:11">
      <c r="A19" s="6">
        <v>18</v>
      </c>
      <c r="B19">
        <v>10</v>
      </c>
      <c r="C19">
        <v>19</v>
      </c>
      <c r="D19" s="2">
        <v>53</v>
      </c>
      <c r="E19">
        <f>管径设计!D23</f>
        <v>65</v>
      </c>
      <c r="F19">
        <f t="shared" si="0"/>
        <v>0.0347051014322117</v>
      </c>
      <c r="G19">
        <f t="shared" si="1"/>
        <v>0.152882235442268</v>
      </c>
      <c r="H19">
        <v>9</v>
      </c>
      <c r="J19" t="s">
        <v>8</v>
      </c>
      <c r="K19">
        <f ca="1" t="shared" si="3"/>
        <v>30</v>
      </c>
    </row>
    <row r="20" spans="1:11">
      <c r="A20" s="6">
        <v>19</v>
      </c>
      <c r="B20">
        <v>10</v>
      </c>
      <c r="C20">
        <v>20</v>
      </c>
      <c r="D20" s="2">
        <v>73</v>
      </c>
      <c r="E20">
        <f>管径设计!D12</f>
        <v>100</v>
      </c>
      <c r="F20">
        <f t="shared" si="0"/>
        <v>0.0303294509825929</v>
      </c>
      <c r="G20">
        <f t="shared" si="1"/>
        <v>0.235203439141951</v>
      </c>
      <c r="H20">
        <v>10</v>
      </c>
      <c r="J20" t="s">
        <v>8</v>
      </c>
      <c r="K20">
        <f ca="1" t="shared" si="3"/>
        <v>74</v>
      </c>
    </row>
    <row r="21" spans="1:11">
      <c r="A21" s="7">
        <v>20</v>
      </c>
      <c r="B21">
        <f>C2+20</f>
        <v>22</v>
      </c>
      <c r="C21">
        <f>B2+20</f>
        <v>21</v>
      </c>
      <c r="D21">
        <f>D2</f>
        <v>89</v>
      </c>
      <c r="E21">
        <f>E2</f>
        <v>250</v>
      </c>
      <c r="F21">
        <f t="shared" si="0"/>
        <v>0.0233947353976847</v>
      </c>
      <c r="G21">
        <f t="shared" si="1"/>
        <v>0.588008597854879</v>
      </c>
      <c r="J21" t="s">
        <v>10</v>
      </c>
    </row>
    <row r="22" spans="1:11">
      <c r="A22" s="7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52</v>
      </c>
      <c r="E22">
        <f t="shared" ref="E22:E39" si="7">E3</f>
        <v>250</v>
      </c>
      <c r="F22">
        <f t="shared" si="0"/>
        <v>0.0233947353976847</v>
      </c>
      <c r="G22">
        <f t="shared" si="1"/>
        <v>0.588008597854879</v>
      </c>
      <c r="J22" t="s">
        <v>10</v>
      </c>
    </row>
    <row r="23" spans="1:11">
      <c r="A23" s="7">
        <v>22</v>
      </c>
      <c r="B23">
        <f t="shared" si="4"/>
        <v>31</v>
      </c>
      <c r="C23">
        <f t="shared" si="5"/>
        <v>22</v>
      </c>
      <c r="D23">
        <f t="shared" si="6"/>
        <v>55</v>
      </c>
      <c r="E23">
        <f t="shared" si="7"/>
        <v>50</v>
      </c>
      <c r="F23">
        <f t="shared" si="0"/>
        <v>0.0378506866114551</v>
      </c>
      <c r="G23">
        <f t="shared" si="1"/>
        <v>0.117601719570976</v>
      </c>
      <c r="J23" t="s">
        <v>10</v>
      </c>
    </row>
    <row r="24" spans="1:11">
      <c r="A24" s="7">
        <v>23</v>
      </c>
      <c r="B24">
        <f t="shared" si="4"/>
        <v>24</v>
      </c>
      <c r="C24">
        <f t="shared" si="5"/>
        <v>23</v>
      </c>
      <c r="D24">
        <f t="shared" si="6"/>
        <v>77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7">
        <v>24</v>
      </c>
      <c r="B25">
        <f t="shared" si="4"/>
        <v>32</v>
      </c>
      <c r="C25">
        <f t="shared" si="5"/>
        <v>23</v>
      </c>
      <c r="D25">
        <f t="shared" si="6"/>
        <v>83</v>
      </c>
      <c r="E25">
        <f t="shared" si="7"/>
        <v>80</v>
      </c>
      <c r="F25">
        <f t="shared" si="0"/>
        <v>0.032485497883736</v>
      </c>
      <c r="G25">
        <f t="shared" si="1"/>
        <v>0.188162751313561</v>
      </c>
      <c r="J25" t="s">
        <v>10</v>
      </c>
    </row>
    <row r="26" spans="1:11">
      <c r="A26" s="7">
        <v>25</v>
      </c>
      <c r="B26">
        <f t="shared" si="4"/>
        <v>25</v>
      </c>
      <c r="C26">
        <f t="shared" si="5"/>
        <v>24</v>
      </c>
      <c r="D26">
        <f t="shared" si="6"/>
        <v>40</v>
      </c>
      <c r="E26">
        <f t="shared" si="7"/>
        <v>200</v>
      </c>
      <c r="F26">
        <f t="shared" si="0"/>
        <v>0.0248460425197335</v>
      </c>
      <c r="G26">
        <f t="shared" si="1"/>
        <v>0.470406878283903</v>
      </c>
      <c r="J26" t="s">
        <v>10</v>
      </c>
    </row>
    <row r="27" spans="1:11">
      <c r="A27" s="7">
        <v>26</v>
      </c>
      <c r="B27">
        <f t="shared" si="4"/>
        <v>33</v>
      </c>
      <c r="C27">
        <f t="shared" si="5"/>
        <v>24</v>
      </c>
      <c r="D27">
        <f t="shared" si="6"/>
        <v>67</v>
      </c>
      <c r="E27">
        <f t="shared" si="7"/>
        <v>125</v>
      </c>
      <c r="F27">
        <f t="shared" si="0"/>
        <v>0.0283811358286925</v>
      </c>
      <c r="G27">
        <f t="shared" si="1"/>
        <v>0.294004298927439</v>
      </c>
      <c r="J27" t="s">
        <v>10</v>
      </c>
    </row>
    <row r="28" spans="1:11">
      <c r="A28" s="7">
        <v>27</v>
      </c>
      <c r="B28">
        <f t="shared" si="4"/>
        <v>26</v>
      </c>
      <c r="C28">
        <f t="shared" si="5"/>
        <v>25</v>
      </c>
      <c r="D28">
        <f t="shared" si="6"/>
        <v>73</v>
      </c>
      <c r="E28">
        <f t="shared" si="7"/>
        <v>200</v>
      </c>
      <c r="F28">
        <f t="shared" si="0"/>
        <v>0.0248460425197335</v>
      </c>
      <c r="G28">
        <f t="shared" si="1"/>
        <v>0.470406878283903</v>
      </c>
      <c r="J28" t="s">
        <v>10</v>
      </c>
    </row>
    <row r="29" spans="1:11">
      <c r="A29" s="7">
        <v>28</v>
      </c>
      <c r="B29">
        <f t="shared" si="4"/>
        <v>34</v>
      </c>
      <c r="C29">
        <f t="shared" si="5"/>
        <v>25</v>
      </c>
      <c r="D29">
        <f t="shared" si="6"/>
        <v>41</v>
      </c>
      <c r="E29">
        <f t="shared" si="7"/>
        <v>80</v>
      </c>
      <c r="F29">
        <f t="shared" si="0"/>
        <v>0.032485497883736</v>
      </c>
      <c r="G29">
        <f t="shared" si="1"/>
        <v>0.188162751313561</v>
      </c>
      <c r="J29" t="s">
        <v>10</v>
      </c>
    </row>
    <row r="30" spans="1:11">
      <c r="A30" s="7">
        <v>29</v>
      </c>
      <c r="B30">
        <f t="shared" si="4"/>
        <v>27</v>
      </c>
      <c r="C30">
        <f t="shared" si="5"/>
        <v>26</v>
      </c>
      <c r="D30">
        <f t="shared" si="6"/>
        <v>95</v>
      </c>
      <c r="E30">
        <f t="shared" si="7"/>
        <v>200</v>
      </c>
      <c r="F30">
        <f t="shared" si="0"/>
        <v>0.0248460425197335</v>
      </c>
      <c r="G30">
        <f t="shared" si="1"/>
        <v>0.470406878283903</v>
      </c>
      <c r="J30" t="s">
        <v>10</v>
      </c>
    </row>
    <row r="31" spans="1:11">
      <c r="A31" s="7">
        <v>30</v>
      </c>
      <c r="B31">
        <f t="shared" si="4"/>
        <v>35</v>
      </c>
      <c r="C31">
        <f t="shared" si="5"/>
        <v>26</v>
      </c>
      <c r="D31">
        <f t="shared" si="6"/>
        <v>91</v>
      </c>
      <c r="E31">
        <f t="shared" si="7"/>
        <v>80</v>
      </c>
      <c r="F31">
        <f t="shared" si="0"/>
        <v>0.032485497883736</v>
      </c>
      <c r="G31">
        <f t="shared" si="1"/>
        <v>0.188162751313561</v>
      </c>
      <c r="J31" t="s">
        <v>10</v>
      </c>
    </row>
    <row r="32" spans="1:11">
      <c r="A32" s="7">
        <v>31</v>
      </c>
      <c r="B32">
        <f t="shared" si="4"/>
        <v>28</v>
      </c>
      <c r="C32">
        <f t="shared" si="5"/>
        <v>27</v>
      </c>
      <c r="D32">
        <f t="shared" si="6"/>
        <v>66</v>
      </c>
      <c r="E32">
        <f t="shared" si="7"/>
        <v>150</v>
      </c>
      <c r="F32">
        <f t="shared" si="0"/>
        <v>0.0269252990527845</v>
      </c>
      <c r="G32">
        <f t="shared" si="1"/>
        <v>0.352805158712927</v>
      </c>
      <c r="J32" t="s">
        <v>10</v>
      </c>
    </row>
    <row r="33" spans="1:10">
      <c r="A33" s="7">
        <v>32</v>
      </c>
      <c r="B33">
        <f t="shared" si="4"/>
        <v>36</v>
      </c>
      <c r="C33">
        <f t="shared" si="5"/>
        <v>27</v>
      </c>
      <c r="D33">
        <f t="shared" si="6"/>
        <v>97</v>
      </c>
      <c r="E33">
        <f t="shared" si="7"/>
        <v>100</v>
      </c>
      <c r="F33">
        <f t="shared" si="0"/>
        <v>0.0303294509825929</v>
      </c>
      <c r="G33">
        <f t="shared" si="1"/>
        <v>0.235203439141951</v>
      </c>
      <c r="J33" t="s">
        <v>10</v>
      </c>
    </row>
    <row r="34" spans="1:10">
      <c r="A34" s="7">
        <v>33</v>
      </c>
      <c r="B34">
        <f t="shared" si="4"/>
        <v>29</v>
      </c>
      <c r="C34">
        <f t="shared" si="5"/>
        <v>28</v>
      </c>
      <c r="D34">
        <f t="shared" si="6"/>
        <v>30</v>
      </c>
      <c r="E34">
        <f t="shared" si="7"/>
        <v>150</v>
      </c>
      <c r="F34">
        <f t="shared" si="0"/>
        <v>0.0269252990527845</v>
      </c>
      <c r="G34">
        <f t="shared" si="1"/>
        <v>0.352805158712927</v>
      </c>
      <c r="J34" t="s">
        <v>10</v>
      </c>
    </row>
    <row r="35" spans="1:10">
      <c r="A35" s="7">
        <v>34</v>
      </c>
      <c r="B35">
        <f t="shared" si="4"/>
        <v>37</v>
      </c>
      <c r="C35">
        <f t="shared" si="5"/>
        <v>28</v>
      </c>
      <c r="D35">
        <f t="shared" si="6"/>
        <v>85</v>
      </c>
      <c r="E35">
        <f t="shared" si="7"/>
        <v>100</v>
      </c>
      <c r="F35">
        <f t="shared" si="0"/>
        <v>0.0303294509825929</v>
      </c>
      <c r="G35">
        <f t="shared" si="1"/>
        <v>0.235203439141951</v>
      </c>
      <c r="J35" t="s">
        <v>10</v>
      </c>
    </row>
    <row r="36" spans="1:10">
      <c r="A36" s="7">
        <v>35</v>
      </c>
      <c r="B36">
        <f t="shared" si="4"/>
        <v>30</v>
      </c>
      <c r="C36">
        <f t="shared" si="5"/>
        <v>29</v>
      </c>
      <c r="D36">
        <f t="shared" si="6"/>
        <v>64</v>
      </c>
      <c r="E36">
        <f t="shared" si="7"/>
        <v>125</v>
      </c>
      <c r="F36">
        <f t="shared" si="0"/>
        <v>0.0283811358286925</v>
      </c>
      <c r="G36">
        <f t="shared" si="1"/>
        <v>0.294004298927439</v>
      </c>
      <c r="J36" t="s">
        <v>10</v>
      </c>
    </row>
    <row r="37" spans="1:10">
      <c r="A37" s="7">
        <v>36</v>
      </c>
      <c r="B37">
        <f t="shared" si="4"/>
        <v>38</v>
      </c>
      <c r="C37">
        <f t="shared" si="5"/>
        <v>29</v>
      </c>
      <c r="D37">
        <f t="shared" si="6"/>
        <v>98</v>
      </c>
      <c r="E37">
        <f t="shared" si="7"/>
        <v>80</v>
      </c>
      <c r="F37">
        <f t="shared" si="0"/>
        <v>0.032485497883736</v>
      </c>
      <c r="G37">
        <f t="shared" si="1"/>
        <v>0.188162751313561</v>
      </c>
      <c r="J37" t="s">
        <v>10</v>
      </c>
    </row>
    <row r="38" spans="1:10">
      <c r="A38" s="7">
        <v>37</v>
      </c>
      <c r="B38">
        <f t="shared" si="4"/>
        <v>39</v>
      </c>
      <c r="C38">
        <f t="shared" si="5"/>
        <v>30</v>
      </c>
      <c r="D38">
        <f t="shared" si="6"/>
        <v>53</v>
      </c>
      <c r="E38">
        <f t="shared" si="7"/>
        <v>65</v>
      </c>
      <c r="F38">
        <f t="shared" si="0"/>
        <v>0.0347051014322117</v>
      </c>
      <c r="G38">
        <f t="shared" si="1"/>
        <v>0.152882235442268</v>
      </c>
      <c r="J38" t="s">
        <v>10</v>
      </c>
    </row>
    <row r="39" spans="1:10">
      <c r="A39" s="7">
        <v>38</v>
      </c>
      <c r="B39">
        <f t="shared" si="4"/>
        <v>40</v>
      </c>
      <c r="C39">
        <f t="shared" si="5"/>
        <v>30</v>
      </c>
      <c r="D39">
        <f t="shared" si="6"/>
        <v>73</v>
      </c>
      <c r="E39">
        <f t="shared" si="7"/>
        <v>100</v>
      </c>
      <c r="F39">
        <f t="shared" si="0"/>
        <v>0.0303294509825929</v>
      </c>
      <c r="G39">
        <f t="shared" si="1"/>
        <v>0.235203439141951</v>
      </c>
      <c r="J39" t="s">
        <v>10</v>
      </c>
    </row>
    <row r="40" spans="1:10">
      <c r="A40" s="8">
        <v>39</v>
      </c>
      <c r="B40">
        <v>11</v>
      </c>
      <c r="C40">
        <v>31</v>
      </c>
      <c r="D40">
        <f>管径设计!C25</f>
        <v>39.5022713806044</v>
      </c>
      <c r="E40">
        <f>管径设计!D25</f>
        <v>50</v>
      </c>
      <c r="F40">
        <f t="shared" ref="F40:F49" si="8">1/(1.14+2*LOG10((E40/0.5)))^2</f>
        <v>0.0378506866114551</v>
      </c>
      <c r="G40">
        <f t="shared" ref="G40:G49" si="9">3.14*E40/1000/(0.03/0.023+0.01/0.5+1/1500+1/100)</f>
        <v>0.117601719570976</v>
      </c>
      <c r="J40" t="s">
        <v>21</v>
      </c>
    </row>
    <row r="41" spans="1:10">
      <c r="A41" s="8">
        <v>40</v>
      </c>
      <c r="B41">
        <v>12</v>
      </c>
      <c r="C41">
        <v>32</v>
      </c>
      <c r="D41">
        <f>管径设计!C26</f>
        <v>56.3380281690141</v>
      </c>
      <c r="E41">
        <f>管径设计!D26</f>
        <v>80</v>
      </c>
      <c r="F41">
        <f t="shared" si="8"/>
        <v>0.032485497883736</v>
      </c>
      <c r="G41">
        <f t="shared" si="9"/>
        <v>0.188162751313561</v>
      </c>
      <c r="J41" t="s">
        <v>21</v>
      </c>
    </row>
    <row r="42" spans="1:10">
      <c r="A42" s="8">
        <v>41</v>
      </c>
      <c r="B42">
        <v>13</v>
      </c>
      <c r="C42">
        <v>33</v>
      </c>
      <c r="D42">
        <f>管径设计!C27</f>
        <v>112.994350282486</v>
      </c>
      <c r="E42">
        <f>管径设计!D27</f>
        <v>125</v>
      </c>
      <c r="F42">
        <f t="shared" si="8"/>
        <v>0.0283811358286925</v>
      </c>
      <c r="G42">
        <f t="shared" si="9"/>
        <v>0.294004298927439</v>
      </c>
      <c r="J42" t="s">
        <v>21</v>
      </c>
    </row>
    <row r="43" spans="1:10">
      <c r="A43" s="8">
        <v>42</v>
      </c>
      <c r="B43">
        <v>14</v>
      </c>
      <c r="C43">
        <v>34</v>
      </c>
      <c r="D43">
        <f>管径设计!C28</f>
        <v>79.8403193612775</v>
      </c>
      <c r="E43">
        <f>管径设计!D28</f>
        <v>80</v>
      </c>
      <c r="F43">
        <f t="shared" si="8"/>
        <v>0.032485497883736</v>
      </c>
      <c r="G43">
        <f t="shared" si="9"/>
        <v>0.188162751313561</v>
      </c>
      <c r="J43" t="s">
        <v>21</v>
      </c>
    </row>
    <row r="44" spans="1:10">
      <c r="A44" s="8">
        <v>43</v>
      </c>
      <c r="B44">
        <v>15</v>
      </c>
      <c r="C44">
        <v>35</v>
      </c>
      <c r="D44">
        <f>管径设计!C29</f>
        <v>79.8722044728434</v>
      </c>
      <c r="E44">
        <f>管径设计!D29</f>
        <v>80</v>
      </c>
      <c r="F44">
        <f t="shared" si="8"/>
        <v>0.032485497883736</v>
      </c>
      <c r="G44">
        <f t="shared" si="9"/>
        <v>0.188162751313561</v>
      </c>
      <c r="J44" t="s">
        <v>21</v>
      </c>
    </row>
    <row r="45" spans="1:10">
      <c r="A45" s="8">
        <v>44</v>
      </c>
      <c r="B45">
        <v>16</v>
      </c>
      <c r="C45">
        <v>36</v>
      </c>
      <c r="D45">
        <f>管径设计!C30</f>
        <v>208.768267223382</v>
      </c>
      <c r="E45">
        <f>管径设计!D30</f>
        <v>100</v>
      </c>
      <c r="F45">
        <f t="shared" si="8"/>
        <v>0.0303294509825929</v>
      </c>
      <c r="G45">
        <f t="shared" si="9"/>
        <v>0.235203439141951</v>
      </c>
      <c r="J45" t="s">
        <v>21</v>
      </c>
    </row>
    <row r="46" spans="1:10">
      <c r="A46" s="8">
        <v>45</v>
      </c>
      <c r="B46">
        <v>17</v>
      </c>
      <c r="C46">
        <v>37</v>
      </c>
      <c r="D46">
        <f>管径设计!C31</f>
        <v>138.40830449827</v>
      </c>
      <c r="E46">
        <f>管径设计!D31</f>
        <v>100</v>
      </c>
      <c r="F46">
        <f t="shared" si="8"/>
        <v>0.0303294509825929</v>
      </c>
      <c r="G46">
        <f t="shared" si="9"/>
        <v>0.235203439141951</v>
      </c>
      <c r="J46" t="s">
        <v>21</v>
      </c>
    </row>
    <row r="47" spans="1:10">
      <c r="A47" s="8">
        <v>46</v>
      </c>
      <c r="B47">
        <v>18</v>
      </c>
      <c r="C47">
        <v>38</v>
      </c>
      <c r="D47">
        <f>管径设计!C32</f>
        <v>168.067226890756</v>
      </c>
      <c r="E47">
        <f>管径设计!D32</f>
        <v>80</v>
      </c>
      <c r="F47">
        <f t="shared" si="8"/>
        <v>0.032485497883736</v>
      </c>
      <c r="G47">
        <f t="shared" si="9"/>
        <v>0.188162751313561</v>
      </c>
      <c r="J47" t="s">
        <v>21</v>
      </c>
    </row>
    <row r="48" spans="1:10">
      <c r="A48" s="8">
        <v>47</v>
      </c>
      <c r="B48">
        <v>19</v>
      </c>
      <c r="C48">
        <v>39</v>
      </c>
      <c r="D48">
        <f>管径设计!C33</f>
        <v>303.951367781155</v>
      </c>
      <c r="E48">
        <f>管径设计!D33</f>
        <v>65</v>
      </c>
      <c r="F48">
        <f t="shared" si="8"/>
        <v>0.0347051014322117</v>
      </c>
      <c r="G48">
        <f t="shared" si="9"/>
        <v>0.152882235442268</v>
      </c>
      <c r="J48" t="s">
        <v>21</v>
      </c>
    </row>
    <row r="49" spans="1:10">
      <c r="A49" s="8">
        <v>48</v>
      </c>
      <c r="B49">
        <v>20</v>
      </c>
      <c r="C49">
        <v>40</v>
      </c>
      <c r="D49">
        <f>管径设计!C34</f>
        <v>349.65034965035</v>
      </c>
      <c r="E49">
        <f>管径设计!D34</f>
        <v>100</v>
      </c>
      <c r="F49">
        <f t="shared" si="8"/>
        <v>0.0303294509825929</v>
      </c>
      <c r="G49">
        <f t="shared" si="9"/>
        <v>0.235203439141951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16" sqref="G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zoomScale="84" zoomScaleNormal="84" workbookViewId="0">
      <selection activeCell="L2" sqref="L2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5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38</v>
      </c>
      <c r="C2" s="2">
        <v>11</v>
      </c>
      <c r="D2">
        <v>3</v>
      </c>
      <c r="E2" s="2">
        <v>5</v>
      </c>
      <c r="F2">
        <f>B2*C2*E2</f>
        <v>2090</v>
      </c>
      <c r="G2">
        <v>10</v>
      </c>
      <c r="H2">
        <f>F2*50</f>
        <v>104500</v>
      </c>
      <c r="I2">
        <f t="shared" ref="I2:I11" si="0">H2/1000/10/4.2*3.6</f>
        <v>8.95714285714286</v>
      </c>
      <c r="J2">
        <f>H2/(50-20)*1</f>
        <v>3483.33333333333</v>
      </c>
      <c r="K2" t="s">
        <v>43</v>
      </c>
      <c r="L2">
        <f>SUM(I2:I11)</f>
        <v>220.281428571429</v>
      </c>
      <c r="M2">
        <f ca="1">RANDBETWEEN(25,45)</f>
        <v>43</v>
      </c>
      <c r="N2">
        <f ca="1">RANDBETWEEN(10,30)</f>
        <v>28</v>
      </c>
      <c r="O2">
        <f ca="1">RANDBETWEEN(4,15)</f>
        <v>10</v>
      </c>
    </row>
    <row r="3" spans="1:15">
      <c r="A3">
        <v>2</v>
      </c>
      <c r="B3" s="2">
        <v>30</v>
      </c>
      <c r="C3" s="2">
        <v>28</v>
      </c>
      <c r="D3">
        <v>3</v>
      </c>
      <c r="E3" s="2">
        <v>7</v>
      </c>
      <c r="F3">
        <f t="shared" ref="F3:F11" si="1">B3*C3*E3</f>
        <v>5880</v>
      </c>
      <c r="G3">
        <v>10</v>
      </c>
      <c r="H3">
        <f t="shared" ref="H3:H11" si="2">F3*50</f>
        <v>294000</v>
      </c>
      <c r="I3">
        <f t="shared" si="0"/>
        <v>25.2</v>
      </c>
      <c r="J3">
        <f t="shared" ref="J3:J11" si="3">H3/(50-20)*1</f>
        <v>9800</v>
      </c>
      <c r="K3" t="s">
        <v>43</v>
      </c>
      <c r="M3">
        <f ca="1" t="shared" ref="M3:M11" si="4">RANDBETWEEN(25,45)</f>
        <v>41</v>
      </c>
      <c r="N3">
        <f ca="1" t="shared" ref="N3:N11" si="5">RANDBETWEEN(10,30)</f>
        <v>15</v>
      </c>
      <c r="O3">
        <f ca="1" t="shared" ref="O3:O11" si="6">RANDBETWEEN(4,15)</f>
        <v>15</v>
      </c>
    </row>
    <row r="4" spans="1:15">
      <c r="A4">
        <v>3</v>
      </c>
      <c r="B4" s="2">
        <v>43</v>
      </c>
      <c r="C4" s="2">
        <v>30</v>
      </c>
      <c r="D4">
        <v>3</v>
      </c>
      <c r="E4" s="2">
        <v>10</v>
      </c>
      <c r="F4">
        <f t="shared" si="1"/>
        <v>12900</v>
      </c>
      <c r="G4">
        <v>10</v>
      </c>
      <c r="H4">
        <f t="shared" si="2"/>
        <v>645000</v>
      </c>
      <c r="I4">
        <f t="shared" si="0"/>
        <v>55.2857142857143</v>
      </c>
      <c r="J4">
        <f t="shared" si="3"/>
        <v>21500</v>
      </c>
      <c r="K4" t="s">
        <v>43</v>
      </c>
      <c r="M4">
        <f ca="1" t="shared" si="4"/>
        <v>38</v>
      </c>
      <c r="N4">
        <f ca="1" t="shared" si="5"/>
        <v>10</v>
      </c>
      <c r="O4">
        <f ca="1" t="shared" si="6"/>
        <v>11</v>
      </c>
    </row>
    <row r="5" spans="1:15">
      <c r="A5">
        <v>4</v>
      </c>
      <c r="B5" s="2">
        <v>45</v>
      </c>
      <c r="C5" s="2">
        <v>10</v>
      </c>
      <c r="D5">
        <v>3</v>
      </c>
      <c r="E5" s="2">
        <v>11</v>
      </c>
      <c r="F5">
        <f t="shared" si="1"/>
        <v>4950</v>
      </c>
      <c r="G5">
        <v>10</v>
      </c>
      <c r="H5">
        <f t="shared" si="2"/>
        <v>247500</v>
      </c>
      <c r="I5">
        <f t="shared" si="0"/>
        <v>21.2142857142857</v>
      </c>
      <c r="J5">
        <f t="shared" si="3"/>
        <v>8250</v>
      </c>
      <c r="K5" t="s">
        <v>43</v>
      </c>
      <c r="M5">
        <f ca="1" t="shared" si="4"/>
        <v>30</v>
      </c>
      <c r="N5">
        <f ca="1" t="shared" si="5"/>
        <v>28</v>
      </c>
      <c r="O5">
        <f ca="1" t="shared" si="6"/>
        <v>15</v>
      </c>
    </row>
    <row r="6" spans="1:15">
      <c r="A6">
        <v>5</v>
      </c>
      <c r="B6" s="2">
        <v>32</v>
      </c>
      <c r="C6" s="2">
        <v>11</v>
      </c>
      <c r="D6">
        <v>3</v>
      </c>
      <c r="E6" s="2">
        <v>14</v>
      </c>
      <c r="F6">
        <f t="shared" si="1"/>
        <v>4928</v>
      </c>
      <c r="G6">
        <v>10</v>
      </c>
      <c r="H6">
        <f t="shared" si="2"/>
        <v>246400</v>
      </c>
      <c r="I6">
        <f t="shared" si="0"/>
        <v>21.12</v>
      </c>
      <c r="J6">
        <f t="shared" si="3"/>
        <v>8213.33333333333</v>
      </c>
      <c r="K6" t="s">
        <v>43</v>
      </c>
      <c r="M6">
        <f ca="1" t="shared" si="4"/>
        <v>28</v>
      </c>
      <c r="N6">
        <f ca="1" t="shared" si="5"/>
        <v>28</v>
      </c>
      <c r="O6">
        <f ca="1" t="shared" si="6"/>
        <v>13</v>
      </c>
    </row>
    <row r="7" spans="1:15">
      <c r="A7">
        <v>6</v>
      </c>
      <c r="B7" s="2">
        <v>40</v>
      </c>
      <c r="C7" s="2">
        <v>19</v>
      </c>
      <c r="D7">
        <v>3</v>
      </c>
      <c r="E7" s="2">
        <v>7</v>
      </c>
      <c r="F7">
        <f t="shared" si="1"/>
        <v>5320</v>
      </c>
      <c r="G7">
        <v>10</v>
      </c>
      <c r="H7">
        <f t="shared" si="2"/>
        <v>266000</v>
      </c>
      <c r="I7">
        <f t="shared" si="0"/>
        <v>22.8</v>
      </c>
      <c r="J7">
        <f t="shared" si="3"/>
        <v>8866.66666666667</v>
      </c>
      <c r="K7" t="s">
        <v>43</v>
      </c>
      <c r="M7">
        <f ca="1" t="shared" si="4"/>
        <v>38</v>
      </c>
      <c r="N7">
        <f ca="1" t="shared" si="5"/>
        <v>28</v>
      </c>
      <c r="O7">
        <f ca="1" t="shared" si="6"/>
        <v>13</v>
      </c>
    </row>
    <row r="8" spans="1:15">
      <c r="A8">
        <v>7</v>
      </c>
      <c r="B8" s="2">
        <v>45</v>
      </c>
      <c r="C8" s="2">
        <v>20</v>
      </c>
      <c r="D8">
        <v>3</v>
      </c>
      <c r="E8" s="2">
        <v>7</v>
      </c>
      <c r="F8">
        <f t="shared" si="1"/>
        <v>6300</v>
      </c>
      <c r="G8">
        <v>10</v>
      </c>
      <c r="H8">
        <f t="shared" si="2"/>
        <v>315000</v>
      </c>
      <c r="I8">
        <f t="shared" si="0"/>
        <v>27</v>
      </c>
      <c r="J8">
        <f t="shared" si="3"/>
        <v>10500</v>
      </c>
      <c r="K8" t="s">
        <v>43</v>
      </c>
      <c r="M8">
        <f ca="1" t="shared" si="4"/>
        <v>36</v>
      </c>
      <c r="N8">
        <f ca="1" t="shared" si="5"/>
        <v>10</v>
      </c>
      <c r="O8">
        <f ca="1" t="shared" si="6"/>
        <v>9</v>
      </c>
    </row>
    <row r="9" spans="1:15">
      <c r="A9">
        <v>8</v>
      </c>
      <c r="B9" s="2">
        <v>37</v>
      </c>
      <c r="C9" s="2">
        <v>23</v>
      </c>
      <c r="D9">
        <v>3</v>
      </c>
      <c r="E9" s="2">
        <v>4</v>
      </c>
      <c r="F9">
        <f t="shared" si="1"/>
        <v>3404</v>
      </c>
      <c r="G9">
        <v>10</v>
      </c>
      <c r="H9">
        <f t="shared" si="2"/>
        <v>170200</v>
      </c>
      <c r="I9">
        <f t="shared" si="0"/>
        <v>14.5885714285714</v>
      </c>
      <c r="J9">
        <f t="shared" si="3"/>
        <v>5673.33333333333</v>
      </c>
      <c r="K9" t="s">
        <v>43</v>
      </c>
      <c r="M9">
        <f ca="1" t="shared" si="4"/>
        <v>37</v>
      </c>
      <c r="N9">
        <f ca="1" t="shared" si="5"/>
        <v>13</v>
      </c>
      <c r="O9">
        <f ca="1" t="shared" si="6"/>
        <v>13</v>
      </c>
    </row>
    <row r="10" spans="1:15">
      <c r="A10">
        <v>9</v>
      </c>
      <c r="B10" s="2">
        <v>28</v>
      </c>
      <c r="C10" s="2">
        <v>14</v>
      </c>
      <c r="D10">
        <v>3</v>
      </c>
      <c r="E10" s="2">
        <v>4</v>
      </c>
      <c r="F10">
        <f t="shared" si="1"/>
        <v>1568</v>
      </c>
      <c r="G10">
        <v>10</v>
      </c>
      <c r="H10">
        <f t="shared" si="2"/>
        <v>78400</v>
      </c>
      <c r="I10">
        <f t="shared" si="0"/>
        <v>6.72</v>
      </c>
      <c r="J10">
        <f t="shared" si="3"/>
        <v>2613.33333333333</v>
      </c>
      <c r="K10" t="s">
        <v>43</v>
      </c>
      <c r="M10">
        <f ca="1" t="shared" si="4"/>
        <v>38</v>
      </c>
      <c r="N10">
        <f ca="1" t="shared" si="5"/>
        <v>30</v>
      </c>
      <c r="O10">
        <f ca="1" t="shared" si="6"/>
        <v>11</v>
      </c>
    </row>
    <row r="11" spans="1:15">
      <c r="A11">
        <v>10</v>
      </c>
      <c r="B11" s="2">
        <v>41</v>
      </c>
      <c r="C11" s="2">
        <v>11</v>
      </c>
      <c r="D11">
        <v>3</v>
      </c>
      <c r="E11" s="2">
        <v>9</v>
      </c>
      <c r="F11">
        <f t="shared" si="1"/>
        <v>4059</v>
      </c>
      <c r="G11">
        <v>10</v>
      </c>
      <c r="H11">
        <f t="shared" si="2"/>
        <v>202950</v>
      </c>
      <c r="I11">
        <f t="shared" si="0"/>
        <v>17.3957142857143</v>
      </c>
      <c r="J11">
        <f t="shared" si="3"/>
        <v>6765</v>
      </c>
      <c r="K11" t="s">
        <v>43</v>
      </c>
      <c r="M11">
        <f ca="1" t="shared" si="4"/>
        <v>33</v>
      </c>
      <c r="N11">
        <f ca="1" t="shared" si="5"/>
        <v>22</v>
      </c>
      <c r="O11">
        <f ca="1" t="shared" si="6"/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B3" sqref="B3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SUM(G3:G12)</f>
        <v>35570.3</v>
      </c>
    </row>
    <row r="3" spans="1:14">
      <c r="A3" s="1" t="s">
        <v>59</v>
      </c>
      <c r="B3">
        <f>Building!L2</f>
        <v>220.281428571429</v>
      </c>
      <c r="C3">
        <f>Branch!D2</f>
        <v>89</v>
      </c>
      <c r="D3" s="2">
        <v>250</v>
      </c>
      <c r="E3" s="3">
        <v>1.19</v>
      </c>
      <c r="F3" s="2">
        <v>60.4</v>
      </c>
      <c r="G3">
        <f t="shared" ref="G3:G12" si="0">C3*F3</f>
        <v>5375.6</v>
      </c>
      <c r="J3">
        <f>L$2*E3*D3/1000/M$2</f>
        <v>297500</v>
      </c>
      <c r="K3">
        <f>1/(1.14+2*LOG10((D3/0.5)))^2</f>
        <v>0.0233947353976847</v>
      </c>
    </row>
    <row r="4" spans="1:14">
      <c r="A4" t="s">
        <v>60</v>
      </c>
      <c r="B4">
        <f>B3-B15</f>
        <v>211.324285714286</v>
      </c>
      <c r="C4">
        <f>Branch!D3</f>
        <v>52</v>
      </c>
      <c r="D4" s="2">
        <v>250</v>
      </c>
      <c r="E4" s="2">
        <v>1.14</v>
      </c>
      <c r="F4" s="2">
        <v>55</v>
      </c>
      <c r="G4">
        <f t="shared" si="0"/>
        <v>2860</v>
      </c>
      <c r="J4">
        <f>L$2*E4*D4/1000/M$2</f>
        <v>285000</v>
      </c>
      <c r="K4">
        <f>1/(1.14+2*LOG10((D4/0.5)))^2</f>
        <v>0.0233947353976847</v>
      </c>
    </row>
    <row r="5" spans="1:14">
      <c r="A5" t="s">
        <v>61</v>
      </c>
      <c r="B5">
        <f>B4-B16</f>
        <v>186.124285714286</v>
      </c>
      <c r="C5">
        <f>Branch!D5</f>
        <v>77</v>
      </c>
      <c r="D5" s="2">
        <v>250</v>
      </c>
      <c r="E5" s="2">
        <v>1.03</v>
      </c>
      <c r="F5" s="2">
        <v>45</v>
      </c>
      <c r="G5">
        <f t="shared" si="0"/>
        <v>3465</v>
      </c>
      <c r="J5">
        <f>L$2*E5*D5/1000/M$2</f>
        <v>257500</v>
      </c>
      <c r="K5">
        <f>1/(1.14+2*LOG10((D5/0.5)))^2</f>
        <v>0.0233947353976847</v>
      </c>
    </row>
    <row r="6" spans="1:14">
      <c r="A6" t="s">
        <v>62</v>
      </c>
      <c r="B6">
        <f t="shared" ref="B6:B11" si="1">B5-B17</f>
        <v>130.838571428571</v>
      </c>
      <c r="C6">
        <f>Branch!D7</f>
        <v>40</v>
      </c>
      <c r="D6" s="2">
        <v>200</v>
      </c>
      <c r="E6" s="2">
        <v>1.12</v>
      </c>
      <c r="F6" s="2">
        <v>71.4</v>
      </c>
      <c r="G6">
        <f t="shared" si="0"/>
        <v>2856</v>
      </c>
      <c r="J6">
        <f>L$2*E6*D6/1000/M$2</f>
        <v>224000</v>
      </c>
      <c r="K6">
        <f>1/(1.14+2*LOG10((D6/0.5)))^2</f>
        <v>0.0248460425197335</v>
      </c>
    </row>
    <row r="7" spans="1:14">
      <c r="A7" t="s">
        <v>63</v>
      </c>
      <c r="B7">
        <f t="shared" si="1"/>
        <v>109.624285714286</v>
      </c>
      <c r="C7">
        <f>Branch!D9</f>
        <v>73</v>
      </c>
      <c r="D7" s="2">
        <v>200</v>
      </c>
      <c r="E7" s="2">
        <v>0.95</v>
      </c>
      <c r="F7" s="2">
        <v>51.2</v>
      </c>
      <c r="G7">
        <f t="shared" si="0"/>
        <v>3737.6</v>
      </c>
      <c r="J7">
        <f t="shared" ref="J7:J12" si="2">L$2*E7*D7/1000/M$2</f>
        <v>190000</v>
      </c>
      <c r="K7">
        <f t="shared" ref="K7:K12" si="3">1/(1.14+2*LOG10((D7/0.5)))^2</f>
        <v>0.0248460425197335</v>
      </c>
    </row>
    <row r="8" spans="1:14">
      <c r="A8" t="s">
        <v>64</v>
      </c>
      <c r="B8">
        <f t="shared" si="1"/>
        <v>88.5042857142858</v>
      </c>
      <c r="C8">
        <f>Branch!D11</f>
        <v>95</v>
      </c>
      <c r="D8" s="2">
        <v>200</v>
      </c>
      <c r="E8" s="2">
        <v>0.78</v>
      </c>
      <c r="F8" s="2">
        <v>34.3</v>
      </c>
      <c r="G8">
        <f t="shared" si="0"/>
        <v>3258.5</v>
      </c>
      <c r="J8">
        <f t="shared" si="2"/>
        <v>156000</v>
      </c>
      <c r="K8">
        <f t="shared" si="3"/>
        <v>0.0248460425197335</v>
      </c>
    </row>
    <row r="9" spans="1:14">
      <c r="A9" t="s">
        <v>65</v>
      </c>
      <c r="B9">
        <f t="shared" si="1"/>
        <v>65.7042857142858</v>
      </c>
      <c r="C9">
        <f>Branch!D13</f>
        <v>66</v>
      </c>
      <c r="D9" s="2">
        <v>150</v>
      </c>
      <c r="E9" s="2">
        <v>1.08</v>
      </c>
      <c r="F9" s="2">
        <v>100</v>
      </c>
      <c r="G9">
        <f t="shared" si="0"/>
        <v>6600</v>
      </c>
      <c r="J9">
        <f t="shared" si="2"/>
        <v>162000</v>
      </c>
      <c r="K9">
        <f t="shared" si="3"/>
        <v>0.0269252990527845</v>
      </c>
    </row>
    <row r="10" spans="1:14">
      <c r="A10" t="s">
        <v>66</v>
      </c>
      <c r="B10">
        <f t="shared" si="1"/>
        <v>38.7042857142858</v>
      </c>
      <c r="C10">
        <f>Branch!D15</f>
        <v>30</v>
      </c>
      <c r="D10" s="2">
        <v>150</v>
      </c>
      <c r="E10" s="2">
        <v>0.62</v>
      </c>
      <c r="F10" s="2">
        <v>33.4</v>
      </c>
      <c r="G10">
        <f t="shared" si="0"/>
        <v>1002</v>
      </c>
      <c r="J10">
        <f t="shared" si="2"/>
        <v>93000</v>
      </c>
      <c r="K10">
        <f t="shared" si="3"/>
        <v>0.0269252990527845</v>
      </c>
    </row>
    <row r="11" spans="1:14">
      <c r="A11" t="s">
        <v>67</v>
      </c>
      <c r="B11">
        <f t="shared" si="1"/>
        <v>24.1157142857143</v>
      </c>
      <c r="C11">
        <f>Branch!D17</f>
        <v>64</v>
      </c>
      <c r="D11" s="2">
        <v>125</v>
      </c>
      <c r="E11" s="2">
        <v>0.57</v>
      </c>
      <c r="F11" s="2">
        <v>35</v>
      </c>
      <c r="G11">
        <f t="shared" si="0"/>
        <v>2240</v>
      </c>
      <c r="J11">
        <f t="shared" si="2"/>
        <v>71250</v>
      </c>
      <c r="K11">
        <f t="shared" si="3"/>
        <v>0.0283811358286925</v>
      </c>
    </row>
    <row r="12" spans="1:14">
      <c r="A12" t="s">
        <v>68</v>
      </c>
      <c r="B12">
        <f>Building!I11</f>
        <v>17.3957142857143</v>
      </c>
      <c r="C12">
        <f>Branch!D20</f>
        <v>73</v>
      </c>
      <c r="D12" s="2">
        <v>100</v>
      </c>
      <c r="E12" s="2">
        <v>0.63</v>
      </c>
      <c r="F12" s="2">
        <v>57.2</v>
      </c>
      <c r="G12">
        <f t="shared" si="0"/>
        <v>4175.6</v>
      </c>
      <c r="J12">
        <f t="shared" si="2"/>
        <v>63000</v>
      </c>
      <c r="K12">
        <f t="shared" si="3"/>
        <v>0.0303294509825929</v>
      </c>
      <c r="L12">
        <f>B11-B23</f>
        <v>17.3957142857143</v>
      </c>
    </row>
    <row r="13" spans="1:14">
      <c r="D13" s="2"/>
      <c r="E13" s="2"/>
      <c r="F13" s="2"/>
    </row>
    <row r="14" spans="1:14">
      <c r="A14" t="s">
        <v>69</v>
      </c>
      <c r="D14" s="2"/>
      <c r="E14" s="2"/>
      <c r="F14" s="2"/>
    </row>
    <row r="15" spans="1:14">
      <c r="A15" t="s">
        <v>70</v>
      </c>
      <c r="B15">
        <f>Building!I2</f>
        <v>8.95714285714286</v>
      </c>
      <c r="C15">
        <f>Branch!D4</f>
        <v>55</v>
      </c>
      <c r="D15" s="2">
        <v>50</v>
      </c>
      <c r="E15" s="2">
        <v>1.18</v>
      </c>
      <c r="F15" s="2">
        <v>506.3</v>
      </c>
      <c r="G15">
        <f t="shared" ref="G15:G23" si="4">C15*F15</f>
        <v>27846.5</v>
      </c>
      <c r="H15">
        <f>N$2-G3</f>
        <v>30194.7</v>
      </c>
      <c r="I15">
        <f>H15/C15</f>
        <v>548.994545454545</v>
      </c>
      <c r="J15">
        <f t="shared" ref="J15:J23" si="5">L$2*E15*D15/1000/M$2</f>
        <v>59000</v>
      </c>
      <c r="K15">
        <f t="shared" ref="K15:K23" si="6">1/(1.14+2*LOG10((D15/0.5)))^2</f>
        <v>0.0378506866114551</v>
      </c>
    </row>
    <row r="16" spans="1:14">
      <c r="A16" t="s">
        <v>71</v>
      </c>
      <c r="B16">
        <f>Building!I3</f>
        <v>25.2</v>
      </c>
      <c r="C16">
        <f>Branch!D6</f>
        <v>83</v>
      </c>
      <c r="D16" s="2">
        <v>80</v>
      </c>
      <c r="E16" s="2">
        <v>1.37</v>
      </c>
      <c r="F16" s="2">
        <v>355</v>
      </c>
      <c r="G16">
        <f t="shared" si="4"/>
        <v>29465</v>
      </c>
      <c r="H16">
        <f>H15-G4</f>
        <v>27334.7</v>
      </c>
      <c r="I16">
        <f t="shared" ref="I16:I23" si="7">H16/C16</f>
        <v>329.333734939759</v>
      </c>
      <c r="J16">
        <f t="shared" si="5"/>
        <v>109600</v>
      </c>
      <c r="K16">
        <f t="shared" si="6"/>
        <v>0.032485497883736</v>
      </c>
    </row>
    <row r="17" spans="1:11">
      <c r="A17" t="s">
        <v>72</v>
      </c>
      <c r="B17">
        <f>Building!I4</f>
        <v>55.2857142857143</v>
      </c>
      <c r="C17">
        <v>40</v>
      </c>
      <c r="D17" s="2">
        <v>125</v>
      </c>
      <c r="E17" s="2">
        <v>1.28</v>
      </c>
      <c r="F17" s="2">
        <v>177</v>
      </c>
      <c r="G17">
        <f t="shared" si="4"/>
        <v>7080</v>
      </c>
      <c r="H17">
        <f t="shared" ref="H17:H23" si="8">H16-G5</f>
        <v>23869.7</v>
      </c>
      <c r="I17">
        <f t="shared" si="7"/>
        <v>596.7425</v>
      </c>
      <c r="J17">
        <f t="shared" si="5"/>
        <v>160000</v>
      </c>
      <c r="K17">
        <f t="shared" si="6"/>
        <v>0.0283811358286925</v>
      </c>
    </row>
    <row r="18" spans="1:11">
      <c r="A18" t="s">
        <v>73</v>
      </c>
      <c r="B18">
        <f>Building!I5</f>
        <v>21.2142857142857</v>
      </c>
      <c r="C18">
        <f>Branch!D10</f>
        <v>41</v>
      </c>
      <c r="D18" s="2">
        <v>80</v>
      </c>
      <c r="E18" s="2">
        <v>1.15</v>
      </c>
      <c r="F18" s="2">
        <v>250.5</v>
      </c>
      <c r="G18">
        <f t="shared" si="4"/>
        <v>10270.5</v>
      </c>
      <c r="H18">
        <f t="shared" si="8"/>
        <v>21013.7</v>
      </c>
      <c r="I18">
        <f t="shared" si="7"/>
        <v>512.529268292683</v>
      </c>
      <c r="J18">
        <f t="shared" si="5"/>
        <v>92000</v>
      </c>
      <c r="K18">
        <f t="shared" si="6"/>
        <v>0.032485497883736</v>
      </c>
    </row>
    <row r="19" spans="1:11">
      <c r="A19" t="s">
        <v>74</v>
      </c>
      <c r="B19">
        <f>Building!I6</f>
        <v>21.12</v>
      </c>
      <c r="C19">
        <f>Branch!D12</f>
        <v>91</v>
      </c>
      <c r="D19" s="2">
        <v>80</v>
      </c>
      <c r="E19" s="3">
        <v>1.15</v>
      </c>
      <c r="F19" s="2">
        <v>250.4</v>
      </c>
      <c r="G19">
        <f t="shared" si="4"/>
        <v>22786.4</v>
      </c>
      <c r="H19">
        <f t="shared" si="8"/>
        <v>17276.1</v>
      </c>
      <c r="I19">
        <f t="shared" si="7"/>
        <v>189.847252747253</v>
      </c>
      <c r="J19">
        <f t="shared" si="5"/>
        <v>92000</v>
      </c>
      <c r="K19">
        <f t="shared" si="6"/>
        <v>0.032485497883736</v>
      </c>
    </row>
    <row r="20" spans="1:11">
      <c r="A20" t="s">
        <v>75</v>
      </c>
      <c r="B20">
        <f>Building!I7</f>
        <v>22.8</v>
      </c>
      <c r="C20">
        <f>Branch!D14</f>
        <v>97</v>
      </c>
      <c r="D20" s="2">
        <v>100</v>
      </c>
      <c r="E20" s="2">
        <v>0.81</v>
      </c>
      <c r="F20" s="2">
        <v>95.8</v>
      </c>
      <c r="G20">
        <f t="shared" si="4"/>
        <v>9292.6</v>
      </c>
      <c r="H20">
        <f t="shared" si="8"/>
        <v>14017.6</v>
      </c>
      <c r="I20">
        <f t="shared" si="7"/>
        <v>144.511340206186</v>
      </c>
      <c r="J20">
        <f t="shared" si="5"/>
        <v>81000</v>
      </c>
      <c r="K20">
        <f t="shared" si="6"/>
        <v>0.0303294509825929</v>
      </c>
    </row>
    <row r="21" spans="1:11">
      <c r="A21" t="s">
        <v>76</v>
      </c>
      <c r="B21">
        <f>Building!I8</f>
        <v>27</v>
      </c>
      <c r="C21">
        <f>Branch!D16</f>
        <v>85</v>
      </c>
      <c r="D21" s="2">
        <v>100</v>
      </c>
      <c r="E21" s="2">
        <v>1</v>
      </c>
      <c r="F21" s="2">
        <v>144.5</v>
      </c>
      <c r="G21">
        <f t="shared" si="4"/>
        <v>12282.5</v>
      </c>
      <c r="H21">
        <f t="shared" si="8"/>
        <v>7417.6</v>
      </c>
      <c r="I21">
        <f t="shared" si="7"/>
        <v>87.2658823529412</v>
      </c>
      <c r="J21">
        <f t="shared" si="5"/>
        <v>100000</v>
      </c>
      <c r="K21">
        <f t="shared" si="6"/>
        <v>0.0303294509825929</v>
      </c>
    </row>
    <row r="22" spans="1:11">
      <c r="A22" t="s">
        <v>77</v>
      </c>
      <c r="B22">
        <f>Building!I9</f>
        <v>14.5885714285714</v>
      </c>
      <c r="C22">
        <f>Branch!D18</f>
        <v>98</v>
      </c>
      <c r="D22" s="2">
        <v>80</v>
      </c>
      <c r="E22" s="2">
        <v>0.8</v>
      </c>
      <c r="F22" s="2">
        <v>119</v>
      </c>
      <c r="G22">
        <f t="shared" si="4"/>
        <v>11662</v>
      </c>
      <c r="H22">
        <f t="shared" si="8"/>
        <v>6415.6</v>
      </c>
      <c r="I22">
        <f t="shared" si="7"/>
        <v>65.465306122449</v>
      </c>
      <c r="J22">
        <f t="shared" si="5"/>
        <v>64000</v>
      </c>
      <c r="K22">
        <f t="shared" si="6"/>
        <v>0.032485497883736</v>
      </c>
    </row>
    <row r="23" spans="1:11">
      <c r="A23" t="s">
        <v>78</v>
      </c>
      <c r="B23">
        <f>Building!I10</f>
        <v>6.72</v>
      </c>
      <c r="C23">
        <f>Branch!D19</f>
        <v>53</v>
      </c>
      <c r="D23" s="2">
        <v>65</v>
      </c>
      <c r="E23" s="2">
        <v>0.53</v>
      </c>
      <c r="F23" s="2">
        <v>65.8</v>
      </c>
      <c r="G23">
        <f t="shared" si="4"/>
        <v>3487.4</v>
      </c>
      <c r="H23">
        <f t="shared" si="8"/>
        <v>4175.6</v>
      </c>
      <c r="I23">
        <f t="shared" si="7"/>
        <v>78.7849056603773</v>
      </c>
      <c r="J23">
        <f t="shared" si="5"/>
        <v>34450</v>
      </c>
      <c r="K23">
        <f t="shared" si="6"/>
        <v>0.0347051014322117</v>
      </c>
    </row>
    <row r="25" spans="1:11">
      <c r="A25" s="4" t="s">
        <v>79</v>
      </c>
      <c r="B25">
        <v>25.7142857142857</v>
      </c>
      <c r="C25">
        <f>H25/F25</f>
        <v>39.5022713806044</v>
      </c>
      <c r="D25">
        <f>D15</f>
        <v>50</v>
      </c>
      <c r="E25">
        <f>E15</f>
        <v>1.18</v>
      </c>
      <c r="F25">
        <f>F15</f>
        <v>506.3</v>
      </c>
      <c r="G25">
        <f>C25*F25</f>
        <v>20000</v>
      </c>
      <c r="H25">
        <v>20000</v>
      </c>
      <c r="K25">
        <f>1/(1.14+2*LOG10((D25/0.5)))^2</f>
        <v>0.0378506866114551</v>
      </c>
    </row>
    <row r="26" spans="1:11">
      <c r="A26" s="4" t="s">
        <v>80</v>
      </c>
      <c r="B26">
        <v>18.5142857142857</v>
      </c>
      <c r="C26">
        <f t="shared" ref="C26:C34" si="9">H26/F26</f>
        <v>56.3380281690141</v>
      </c>
      <c r="D26">
        <f t="shared" ref="D26:D33" si="10">D16</f>
        <v>80</v>
      </c>
      <c r="E26">
        <f t="shared" ref="E26:F33" si="11">E16</f>
        <v>1.37</v>
      </c>
      <c r="F26">
        <f t="shared" si="11"/>
        <v>355</v>
      </c>
      <c r="G26">
        <f>C26*F26</f>
        <v>20000</v>
      </c>
      <c r="H26">
        <v>20000</v>
      </c>
      <c r="K26">
        <f t="shared" ref="K26:K34" si="12">1/(1.14+2*LOG10((D26/0.5)))^2</f>
        <v>0.032485497883736</v>
      </c>
    </row>
    <row r="27" spans="1:11">
      <c r="A27" s="4" t="s">
        <v>81</v>
      </c>
      <c r="B27">
        <v>20.5714285714286</v>
      </c>
      <c r="C27">
        <f t="shared" si="9"/>
        <v>112.994350282486</v>
      </c>
      <c r="D27">
        <f t="shared" si="10"/>
        <v>125</v>
      </c>
      <c r="E27">
        <f t="shared" si="11"/>
        <v>1.28</v>
      </c>
      <c r="F27">
        <f t="shared" si="11"/>
        <v>177</v>
      </c>
      <c r="G27">
        <f t="shared" ref="G27:G34" si="13">C27*F27</f>
        <v>20000</v>
      </c>
      <c r="H27">
        <v>20000</v>
      </c>
      <c r="K27">
        <f t="shared" si="12"/>
        <v>0.0283811358286925</v>
      </c>
    </row>
    <row r="28" spans="1:11">
      <c r="A28" s="4" t="s">
        <v>82</v>
      </c>
      <c r="B28">
        <v>37.7142857142857</v>
      </c>
      <c r="C28">
        <f t="shared" si="9"/>
        <v>79.8403193612775</v>
      </c>
      <c r="D28">
        <f t="shared" si="10"/>
        <v>80</v>
      </c>
      <c r="E28">
        <f t="shared" si="11"/>
        <v>1.15</v>
      </c>
      <c r="F28">
        <f t="shared" si="11"/>
        <v>250.5</v>
      </c>
      <c r="G28">
        <f t="shared" si="13"/>
        <v>20000</v>
      </c>
      <c r="H28">
        <v>20000</v>
      </c>
      <c r="K28">
        <f t="shared" si="12"/>
        <v>0.032485497883736</v>
      </c>
    </row>
    <row r="29" spans="1:11">
      <c r="A29" s="4" t="s">
        <v>83</v>
      </c>
      <c r="B29">
        <v>30.8571428571429</v>
      </c>
      <c r="C29">
        <f t="shared" si="9"/>
        <v>79.8722044728434</v>
      </c>
      <c r="D29">
        <f t="shared" si="10"/>
        <v>80</v>
      </c>
      <c r="E29">
        <f t="shared" si="11"/>
        <v>1.15</v>
      </c>
      <c r="F29">
        <f t="shared" si="11"/>
        <v>250.4</v>
      </c>
      <c r="G29">
        <f t="shared" si="13"/>
        <v>20000</v>
      </c>
      <c r="H29">
        <v>20000</v>
      </c>
      <c r="K29">
        <f t="shared" si="12"/>
        <v>0.032485497883736</v>
      </c>
    </row>
    <row r="30" spans="1:11">
      <c r="A30" s="4" t="s">
        <v>84</v>
      </c>
      <c r="B30">
        <v>8.57142857142857</v>
      </c>
      <c r="C30">
        <f t="shared" si="9"/>
        <v>208.768267223382</v>
      </c>
      <c r="D30">
        <f t="shared" si="10"/>
        <v>100</v>
      </c>
      <c r="E30">
        <f t="shared" si="11"/>
        <v>0.81</v>
      </c>
      <c r="F30">
        <f t="shared" si="11"/>
        <v>95.8</v>
      </c>
      <c r="G30">
        <f t="shared" si="13"/>
        <v>20000</v>
      </c>
      <c r="H30">
        <v>20000</v>
      </c>
      <c r="K30">
        <f t="shared" si="12"/>
        <v>0.0303294509825929</v>
      </c>
    </row>
    <row r="31" spans="1:11">
      <c r="A31" s="4" t="s">
        <v>85</v>
      </c>
      <c r="B31">
        <v>15.4285714285714</v>
      </c>
      <c r="C31">
        <f t="shared" si="9"/>
        <v>138.40830449827</v>
      </c>
      <c r="D31">
        <f t="shared" si="10"/>
        <v>100</v>
      </c>
      <c r="E31">
        <f t="shared" si="11"/>
        <v>1</v>
      </c>
      <c r="F31">
        <f t="shared" si="11"/>
        <v>144.5</v>
      </c>
      <c r="G31">
        <f t="shared" si="13"/>
        <v>20000</v>
      </c>
      <c r="H31">
        <v>20000</v>
      </c>
      <c r="K31">
        <f t="shared" si="12"/>
        <v>0.0303294509825929</v>
      </c>
    </row>
    <row r="32" spans="1:11">
      <c r="A32" s="4" t="s">
        <v>86</v>
      </c>
      <c r="B32">
        <v>23.1428571428571</v>
      </c>
      <c r="C32">
        <f t="shared" si="9"/>
        <v>168.067226890756</v>
      </c>
      <c r="D32">
        <f t="shared" si="10"/>
        <v>80</v>
      </c>
      <c r="E32">
        <f t="shared" si="11"/>
        <v>0.8</v>
      </c>
      <c r="F32">
        <f t="shared" si="11"/>
        <v>119</v>
      </c>
      <c r="G32">
        <f t="shared" si="13"/>
        <v>20000</v>
      </c>
      <c r="H32">
        <v>20000</v>
      </c>
      <c r="K32">
        <f t="shared" si="12"/>
        <v>0.032485497883736</v>
      </c>
    </row>
    <row r="33" spans="1:11">
      <c r="A33" s="4" t="s">
        <v>87</v>
      </c>
      <c r="B33">
        <v>32.1428571428571</v>
      </c>
      <c r="C33">
        <f t="shared" si="9"/>
        <v>303.951367781155</v>
      </c>
      <c r="D33">
        <f t="shared" si="10"/>
        <v>65</v>
      </c>
      <c r="E33">
        <f t="shared" si="11"/>
        <v>0.53</v>
      </c>
      <c r="F33">
        <f t="shared" si="11"/>
        <v>65.8</v>
      </c>
      <c r="G33">
        <f t="shared" si="13"/>
        <v>20000</v>
      </c>
      <c r="H33">
        <v>20000</v>
      </c>
      <c r="K33">
        <f t="shared" si="12"/>
        <v>0.0347051014322117</v>
      </c>
    </row>
    <row r="34" spans="1:11">
      <c r="A34" s="4" t="s">
        <v>88</v>
      </c>
      <c r="B34">
        <v>33.4285714285714</v>
      </c>
      <c r="C34">
        <f t="shared" si="9"/>
        <v>349.65034965035</v>
      </c>
      <c r="D34">
        <f>D12</f>
        <v>100</v>
      </c>
      <c r="E34">
        <f>E12</f>
        <v>0.63</v>
      </c>
      <c r="F34">
        <f>F12</f>
        <v>57.2</v>
      </c>
      <c r="G34">
        <f t="shared" si="13"/>
        <v>20000</v>
      </c>
      <c r="H34">
        <v>20000</v>
      </c>
      <c r="K34">
        <f t="shared" si="12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2026-01-06T17:30:00Z</dcterms:created>
  <dcterms:modified xsi:type="dcterms:W3CDTF">2026-09-21T16:28:31Z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